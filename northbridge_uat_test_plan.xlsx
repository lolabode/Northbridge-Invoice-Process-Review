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<sst xmlns="http://schemas.openxmlformats.org/spreadsheetml/2006/main" count="305" uniqueCount="212">
  <si>
    <t xml:space="preserve">Northbridge Supplies: UAT test plan</t>
  </si>
  <si>
    <t xml:space="preserve">What this is</t>
  </si>
  <si>
    <t xml:space="preserve">User acceptance testing (UAT) for the new invoice approval process. Real users test it before go-live, to confirm it works the way the requirements say. Each test case comes from an acceptance criterion in the requirements spreadsheet.</t>
  </si>
  <si>
    <t xml:space="preserve">Author</t>
  </si>
  <si>
    <t xml:space="preserve">Felicia Oyebode, Business Analyst</t>
  </si>
  <si>
    <t xml:space="preserve">In scope</t>
  </si>
  <si>
    <t xml:space="preserve">Phase A and Phase B stories (US01 to US10, and US12). Phase C (US11) will be tested in its own project. Won't-have stories (US13, US14) are not tested.</t>
  </si>
  <si>
    <t xml:space="preserve">How to use it</t>
  </si>
  <si>
    <t xml:space="preserve">Testers fill in the yellow columns on the Test cases tab: the date tested, Pass / Fail / Blocked, what actually happened, and any defect number. The Summary tab updates by itself.</t>
  </si>
  <si>
    <t xml:space="preserve">Ready to start testing when</t>
  </si>
  <si>
    <t xml:space="preserve">1</t>
  </si>
  <si>
    <t xml:space="preserve">The workflow module is set up in a test copy of the finance system</t>
  </si>
  <si>
    <t xml:space="preserve">2</t>
  </si>
  <si>
    <t xml:space="preserve">The approval list and backup approvers are loaded</t>
  </si>
  <si>
    <t xml:space="preserve">3</t>
  </si>
  <si>
    <t xml:space="preserve">Testers have had a short walkthrough</t>
  </si>
  <si>
    <t xml:space="preserve">Ready to go live when</t>
  </si>
  <si>
    <t xml:space="preserve">Every Must-have test has passed</t>
  </si>
  <si>
    <t xml:space="preserve">No open high-priority defects</t>
  </si>
  <si>
    <t xml:space="preserve">Helen Marsh signs off</t>
  </si>
  <si>
    <t xml:space="preserve">Testers</t>
  </si>
  <si>
    <t xml:space="preserve">AP clerk, AP team lead (Daniel Okafor), Operations Manager (Mark Reid), Marketing Manager, Operations supervisor, Procurement lead, Financial Controller, Finance Director (Helen Marsh), Finance owner</t>
  </si>
  <si>
    <t xml:space="preserve">Note</t>
  </si>
  <si>
    <t xml:space="preserve">Test data uses real examples from the 2025 invoice data where useful. Northbridge Supplies is a fictional company. This is a portfolio case study.</t>
  </si>
  <si>
    <t xml:space="preserve">Test ID</t>
  </si>
  <si>
    <t xml:space="preserve">Story</t>
  </si>
  <si>
    <t xml:space="preserve">What we're testing</t>
  </si>
  <si>
    <t xml:space="preserve">Steps</t>
  </si>
  <si>
    <t xml:space="preserve">Test data</t>
  </si>
  <si>
    <t xml:space="preserve">Expected result</t>
  </si>
  <si>
    <t xml:space="preserve">Tester</t>
  </si>
  <si>
    <t xml:space="preserve">Date tested</t>
  </si>
  <si>
    <t xml:space="preserve">Result</t>
  </si>
  <si>
    <t xml:space="preserve">What actually happened</t>
  </si>
  <si>
    <t xml:space="preserve">Defect ref</t>
  </si>
  <si>
    <t xml:space="preserve">TC01</t>
  </si>
  <si>
    <t xml:space="preserve">US01</t>
  </si>
  <si>
    <t xml:space="preserve">Exact duplicate is blocked</t>
  </si>
  <si>
    <t xml:space="preserve">1. Log an invoice from Albion Packaging Ltd with invoice number 001-13797.
2. Log the same invoice again.</t>
  </si>
  <si>
    <t xml:space="preserve">Albion Packaging Ltd, 001-13797, £1,979.70 (one of the 2025 duplicates)</t>
  </si>
  <si>
    <t xml:space="preserve">Second invoice is blocked from payment. AP gets an alert with a link to the first one.</t>
  </si>
  <si>
    <t xml:space="preserve">AP clerk</t>
  </si>
  <si>
    <t xml:space="preserve">Not run</t>
  </si>
  <si>
    <t xml:space="preserve">TC02</t>
  </si>
  <si>
    <t xml:space="preserve">Near-duplicate with different punctuation is blocked</t>
  </si>
  <si>
    <t xml:space="preserve">1. Log invoice 004-10261 from Dunmore Packaging Ltd.
2. Log the same invoice with the number typed as 004 10261.</t>
  </si>
  <si>
    <t xml:space="preserve">Dunmore Packaging Ltd, 004-10261, £310.42</t>
  </si>
  <si>
    <t xml:space="preserve">Second invoice is treated as a duplicate and blocked.</t>
  </si>
  <si>
    <t xml:space="preserve">TC03</t>
  </si>
  <si>
    <t xml:space="preserve">Only the Financial Controller can release a blocked invoice</t>
  </si>
  <si>
    <t xml:space="preserve">1. As an AP clerk, try to release a blocked invoice.
2. As the Financial Controller, release it without a reason.
3. Release it again, this time with a reason.</t>
  </si>
  <si>
    <t xml:space="preserve">Any blocked invoice from the tests above</t>
  </si>
  <si>
    <t xml:space="preserve">AP clerk cannot release it. Financial Controller cannot release it without a reason. With a reason, it is released and the reason is saved.</t>
  </si>
  <si>
    <t xml:space="preserve">AP clerk, Financial Controller</t>
  </si>
  <si>
    <t xml:space="preserve">TC04</t>
  </si>
  <si>
    <t xml:space="preserve">Different invoice from the same supplier is not blocked</t>
  </si>
  <si>
    <t xml:space="preserve">1. Log a new invoice from Albion Packaging Ltd with a different invoice number.</t>
  </si>
  <si>
    <t xml:space="preserve">Albion Packaging Ltd, new invoice number</t>
  </si>
  <si>
    <t xml:space="preserve">Invoice is accepted as normal. No duplicate alert.</t>
  </si>
  <si>
    <t xml:space="preserve">TC05</t>
  </si>
  <si>
    <t xml:space="preserve">US02</t>
  </si>
  <si>
    <t xml:space="preserve">Duplicate payments list is complete</t>
  </si>
  <si>
    <t xml:space="preserve">1. Open the list of 2025 duplicate payments.
2. Add up the amounts and count the lines.</t>
  </si>
  <si>
    <t xml:space="preserve">2025 duplicates list</t>
  </si>
  <si>
    <t xml:space="preserve">List shows supplier, invoice number, amount and both payment dates. 45 invoices totalling £158,776.</t>
  </si>
  <si>
    <t xml:space="preserve">Financial Controller</t>
  </si>
  <si>
    <t xml:space="preserve">TC06</t>
  </si>
  <si>
    <t xml:space="preserve">Recovery status can be tracked</t>
  </si>
  <si>
    <t xml:space="preserve">1. Pick one line on the list.
2. Change its status to 'Requested', then 'Agreed', then 'Received'.</t>
  </si>
  <si>
    <t xml:space="preserve">Any line on the list</t>
  </si>
  <si>
    <t xml:space="preserve">Each status saves and shows on the list.</t>
  </si>
  <si>
    <t xml:space="preserve">TC07</t>
  </si>
  <si>
    <t xml:space="preserve">US03</t>
  </si>
  <si>
    <t xml:space="preserve">Invoice with no PO is returned to the supplier</t>
  </si>
  <si>
    <t xml:space="preserve">1. Log an invoice with no PO number.
2. Return it using the standard email.</t>
  </si>
  <si>
    <t xml:space="preserve">Test invoice with blank PO field</t>
  </si>
  <si>
    <t xml:space="preserve">Standard email goes to the supplier within 1 working day. Invoice shows as 'returned: no PO'.</t>
  </si>
  <si>
    <t xml:space="preserve">TC08</t>
  </si>
  <si>
    <t xml:space="preserve">Resent invoice with a valid PO goes through normally</t>
  </si>
  <si>
    <t xml:space="preserve">1. Log the returned invoice again, now with a valid PO number.</t>
  </si>
  <si>
    <t xml:space="preserve">Same supplier and amount, valid PO added</t>
  </si>
  <si>
    <t xml:space="preserve">Invoice goes through the normal process. It is not flagged as a duplicate of the returned one.</t>
  </si>
  <si>
    <t xml:space="preserve">TC09</t>
  </si>
  <si>
    <t xml:space="preserve">US04</t>
  </si>
  <si>
    <t xml:space="preserve">Emergency PO can be raised quickly on a phone</t>
  </si>
  <si>
    <t xml:space="preserve">1. On a phone, open the emergency PO form.
2. Enter supplier, description, rough cost and cost centre.
3. Submit and time it.</t>
  </si>
  <si>
    <t xml:space="preserve">Forklift repair, about £850, Operations cost centre</t>
  </si>
  <si>
    <t xml:space="preserve">Only those four fields are needed. A PO number appears straight away. Takes under 2 minutes.</t>
  </si>
  <si>
    <t xml:space="preserve">Operations supervisor</t>
  </si>
  <si>
    <t xml:space="preserve">TC10</t>
  </si>
  <si>
    <t xml:space="preserve">Budget holder is told about the emergency PO</t>
  </si>
  <si>
    <t xml:space="preserve">1. Raise an emergency PO as above.
2. Check the budget holder's notifications.</t>
  </si>
  <si>
    <t xml:space="preserve">As above</t>
  </si>
  <si>
    <t xml:space="preserve">Budget holder is notified with the PO details.</t>
  </si>
  <si>
    <t xml:space="preserve">Operations Manager</t>
  </si>
  <si>
    <t xml:space="preserve">TC11</t>
  </si>
  <si>
    <t xml:space="preserve">Monthly list of emergency POs is produced</t>
  </si>
  <si>
    <t xml:space="preserve">1. Raise three emergency POs during the test period.
2. Run the month-end emergency PO list.</t>
  </si>
  <si>
    <t xml:space="preserve">Three test emergency POs</t>
  </si>
  <si>
    <t xml:space="preserve">All three appear on the list with who raised them, supplier and amount.</t>
  </si>
  <si>
    <t xml:space="preserve">TC12</t>
  </si>
  <si>
    <t xml:space="preserve">US05</t>
  </si>
  <si>
    <t xml:space="preserve">Supplier notice reaches all regular suppliers</t>
  </si>
  <si>
    <t xml:space="preserve">1. Get the list of suppliers invoiced in the last 12 months.
2. Check it against the list the notice was sent to.</t>
  </si>
  <si>
    <t xml:space="preserve">Supplier list and notice mailing list</t>
  </si>
  <si>
    <t xml:space="preserve">Every supplier on the 12-month list received the notice. Notice names a Procurement contact.</t>
  </si>
  <si>
    <t xml:space="preserve">Procurement lead</t>
  </si>
  <si>
    <t xml:space="preserve">TC13</t>
  </si>
  <si>
    <t xml:space="preserve">US06</t>
  </si>
  <si>
    <t xml:space="preserve">Matched invoice goes to the right approver</t>
  </si>
  <si>
    <t xml:space="preserve">1. Log a matched invoice for the Marketing department under £10,000.
2. Time how long it takes to reach the approver.</t>
  </si>
  <si>
    <t xml:space="preserve">Marketing invoice, £2,400, matched to PO</t>
  </si>
  <si>
    <t xml:space="preserve">Goes to the Marketing Manager within 5 minutes.</t>
  </si>
  <si>
    <t xml:space="preserve">TC14</t>
  </si>
  <si>
    <t xml:space="preserve">Invoice of £10,000 or more goes to the Finance Director next</t>
  </si>
  <si>
    <t xml:space="preserve">1. Log a matched invoice of £12,000.
2. Approve it as the budget holder.</t>
  </si>
  <si>
    <t xml:space="preserve">Operations invoice, £12,000, matched to PO</t>
  </si>
  <si>
    <t xml:space="preserve">After the budget holder approves, it goes to the Finance Director automatically.</t>
  </si>
  <si>
    <t xml:space="preserve">Operations Manager, Finance Director</t>
  </si>
  <si>
    <t xml:space="preserve">TC15</t>
  </si>
  <si>
    <t xml:space="preserve">Invoice at exactly £10,000 needs a second approval</t>
  </si>
  <si>
    <t xml:space="preserve">1. Log a matched invoice of exactly £10,000.00.
2. Approve it as the budget holder.</t>
  </si>
  <si>
    <t xml:space="preserve">Any department, £10,000.00</t>
  </si>
  <si>
    <t xml:space="preserve">Goes to the Finance Director after the budget holder. (Checks the boundary: 'or over' includes £10,000.)</t>
  </si>
  <si>
    <t xml:space="preserve">TC16</t>
  </si>
  <si>
    <t xml:space="preserve">Invoice with no approver set up goes to the AP queue</t>
  </si>
  <si>
    <t xml:space="preserve">1. Log a matched invoice for a test department with no approver.</t>
  </si>
  <si>
    <t xml:space="preserve">Test department with no approver</t>
  </si>
  <si>
    <t xml:space="preserve">Invoice goes to the AP queue and AP gets an alert.</t>
  </si>
  <si>
    <t xml:space="preserve">TC17</t>
  </si>
  <si>
    <t xml:space="preserve">US07</t>
  </si>
  <si>
    <t xml:space="preserve">Approver gets a phone notification</t>
  </si>
  <si>
    <t xml:space="preserve">1. Send a matched invoice for approval.
2. Check the approver's phone.</t>
  </si>
  <si>
    <t xml:space="preserve">Operations invoice, £1,500</t>
  </si>
  <si>
    <t xml:space="preserve">Notification arrives within 5 minutes.</t>
  </si>
  <si>
    <t xml:space="preserve">TC18</t>
  </si>
  <si>
    <t xml:space="preserve">PO details show next to the invoice</t>
  </si>
  <si>
    <t xml:space="preserve">1. Open the invoice from the notification.</t>
  </si>
  <si>
    <t xml:space="preserve">PO number, amount and supplier are shown next to the invoice.</t>
  </si>
  <si>
    <t xml:space="preserve">TC19</t>
  </si>
  <si>
    <t xml:space="preserve">Rejecting needs a reason</t>
  </si>
  <si>
    <t xml:space="preserve">1. Try to reject the invoice without a reason.
2. Reject it with a reason.</t>
  </si>
  <si>
    <t xml:space="preserve">Can't reject without a reason. With a reason, it is rejected and AP can see why.</t>
  </si>
  <si>
    <t xml:space="preserve">TC20</t>
  </si>
  <si>
    <t xml:space="preserve">US08</t>
  </si>
  <si>
    <t xml:space="preserve">Reminder after 3 working days</t>
  </si>
  <si>
    <t xml:space="preserve">1. Send an invoice for approval and take no action.
2. Move the test clock forward 3 working days.</t>
  </si>
  <si>
    <t xml:space="preserve">Any routed invoice</t>
  </si>
  <si>
    <t xml:space="preserve">Approver gets a reminder. It shows in the invoice history with the date.</t>
  </si>
  <si>
    <t xml:space="preserve">TC21</t>
  </si>
  <si>
    <t xml:space="preserve">Escalation after 5 working days</t>
  </si>
  <si>
    <t xml:space="preserve">1. Leave the same invoice with no action.
2. Move the test clock forward to 5 working days.</t>
  </si>
  <si>
    <t xml:space="preserve">Invoice goes to the backup approver. AP is told.</t>
  </si>
  <si>
    <t xml:space="preserve">TC22</t>
  </si>
  <si>
    <t xml:space="preserve">Weekends don't count towards the limit</t>
  </si>
  <si>
    <t xml:space="preserve">1. Send an invoice for approval on a Friday.
2. Check on Monday and on Wednesday.</t>
  </si>
  <si>
    <t xml:space="preserve">No reminder on Monday. Reminder on Wednesday (3 working days).</t>
  </si>
  <si>
    <t xml:space="preserve">TC23</t>
  </si>
  <si>
    <t xml:space="preserve">US09</t>
  </si>
  <si>
    <t xml:space="preserve">Backup approver is required</t>
  </si>
  <si>
    <t xml:space="preserve">1. Try to add a new budget holder without a backup.</t>
  </si>
  <si>
    <t xml:space="preserve">Test budget holder</t>
  </si>
  <si>
    <t xml:space="preserve">System won't save without a backup approver.</t>
  </si>
  <si>
    <t xml:space="preserve">Finance owner</t>
  </si>
  <si>
    <t xml:space="preserve">TC24</t>
  </si>
  <si>
    <t xml:space="preserve">Invoices go to the backup when someone is away</t>
  </si>
  <si>
    <t xml:space="preserve">1. Mark the Marketing Manager as away.
2. Send a Marketing invoice for approval.
3. Approve it as the backup.</t>
  </si>
  <si>
    <t xml:space="preserve">Marketing invoice, £800</t>
  </si>
  <si>
    <t xml:space="preserve">Goes straight to the backup. The record shows who approved it and that they were covering.</t>
  </si>
  <si>
    <t xml:space="preserve">Marketing Manager's backup</t>
  </si>
  <si>
    <t xml:space="preserve">TC25</t>
  </si>
  <si>
    <t xml:space="preserve">US10</t>
  </si>
  <si>
    <t xml:space="preserve">Query needs an owner, reason and due date</t>
  </si>
  <si>
    <t xml:space="preserve">1. Raise a query on a price mismatch invoice.
2. Try to save it with no owner.</t>
  </si>
  <si>
    <t xml:space="preserve">Invoice with price mismatch</t>
  </si>
  <si>
    <t xml:space="preserve">Can't save without owner, reason and due date.</t>
  </si>
  <si>
    <t xml:space="preserve">AP team lead</t>
  </si>
  <si>
    <t xml:space="preserve">TC26</t>
  </si>
  <si>
    <t xml:space="preserve">Overdue queries are highlighted</t>
  </si>
  <si>
    <t xml:space="preserve">1. Raise a query with a due date of yesterday.
2. Open the AP query list.</t>
  </si>
  <si>
    <t xml:space="preserve">Overdue query is highlighted.</t>
  </si>
  <si>
    <t xml:space="preserve">TC27</t>
  </si>
  <si>
    <t xml:space="preserve">Closing a query needs a resolution note</t>
  </si>
  <si>
    <t xml:space="preserve">1. Try to close a query without a note.
2. Close it with a note.</t>
  </si>
  <si>
    <t xml:space="preserve">Can't close without a note. With a note, it closes.</t>
  </si>
  <si>
    <t xml:space="preserve">TC28</t>
  </si>
  <si>
    <t xml:space="preserve">US12</t>
  </si>
  <si>
    <t xml:space="preserve">On-time % shows against the 95% target</t>
  </si>
  <si>
    <t xml:space="preserve">1. Open the dashboard after month-end.</t>
  </si>
  <si>
    <t xml:space="preserve">Test month's data</t>
  </si>
  <si>
    <t xml:space="preserve">Shows % paid on time with the 95% target line. Figure matches a manual count.</t>
  </si>
  <si>
    <t xml:space="preserve">Finance Director</t>
  </si>
  <si>
    <t xml:space="preserve">TC29</t>
  </si>
  <si>
    <t xml:space="preserve">Approval days by approver</t>
  </si>
  <si>
    <t xml:space="preserve">1. Open the approvals view.</t>
  </si>
  <si>
    <t xml:space="preserve">Average approval days shows for each approver. One approver's figure matches a manual check.</t>
  </si>
  <si>
    <t xml:space="preserve">TC30</t>
  </si>
  <si>
    <t xml:space="preserve">Controls figures are shown</t>
  </si>
  <si>
    <t xml:space="preserve">1. Open the controls view.</t>
  </si>
  <si>
    <t xml:space="preserve">Shows duplicates blocked, invoices returned for no PO, and open queries. Each matches the test log.</t>
  </si>
  <si>
    <t xml:space="preserve">Test progress</t>
  </si>
  <si>
    <t xml:space="preserve">Test cases</t>
  </si>
  <si>
    <t xml:space="preserve">Share</t>
  </si>
  <si>
    <t xml:space="preserve">Pass</t>
  </si>
  <si>
    <t xml:space="preserve">Fail</t>
  </si>
  <si>
    <t xml:space="preserve">Blocked</t>
  </si>
  <si>
    <t xml:space="preserve">Total</t>
  </si>
  <si>
    <t xml:space="preserve">Ready to go live?</t>
  </si>
  <si>
    <t xml:space="preserve">Rule: every test passed, none failed, blocked or not run, and no open high-priority defects.</t>
  </si>
  <si>
    <t xml:space="preserve">By story</t>
  </si>
  <si>
    <t xml:space="preserve">Passed</t>
  </si>
  <si>
    <t xml:space="preserve">Failed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</si>
</sst>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42" hidden="false" customHeight="tru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42" hidden="false" customHeight="tru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/>
    </row>
    <row r="7" customFormat="false" ht="42" hidden="false" customHeight="tru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4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1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16</v>
      </c>
    </row>
    <row r="15" customFormat="false" ht="15" hidden="false" customHeight="false" outlineLevel="0" collapsed="false">
      <c r="A15" s="2" t="s">
        <v>10</v>
      </c>
      <c r="B15" s="3" t="s">
        <v>17</v>
      </c>
    </row>
    <row r="16" customFormat="false" ht="15" hidden="false" customHeight="false" outlineLevel="0" collapsed="false">
      <c r="A16" s="2" t="s">
        <v>12</v>
      </c>
      <c r="B16" s="3" t="s">
        <v>18</v>
      </c>
    </row>
    <row r="17" customFormat="false" ht="15" hidden="false" customHeight="false" outlineLevel="0" collapsed="false">
      <c r="A17" s="2" t="s">
        <v>14</v>
      </c>
      <c r="B17" s="3" t="s">
        <v>19</v>
      </c>
    </row>
    <row r="18" customFormat="false" ht="15" hidden="false" customHeight="false" outlineLevel="0" collapsed="false">
      <c r="A18" s="2"/>
    </row>
    <row r="19" customFormat="false" ht="42" hidden="false" customHeight="true" outlineLevel="0" collapsed="false">
      <c r="A19" s="2" t="s">
        <v>20</v>
      </c>
      <c r="B19" s="3" t="s">
        <v>21</v>
      </c>
    </row>
    <row r="20" customFormat="false" ht="15" hidden="false" customHeight="false" outlineLevel="0" collapsed="false">
      <c r="A20" s="2"/>
    </row>
    <row r="21" customFormat="false" ht="23.85" hidden="false" customHeight="false" outlineLevel="0" collapsed="false">
      <c r="A21" s="2" t="s">
        <v>22</v>
      </c>
      <c r="B21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</row>
    <row r="2" customFormat="false" ht="46.5" hidden="false" customHeight="true" outlineLevel="0" collapsed="false">
      <c r="A2" s="6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8"/>
      <c r="I2" s="9" t="s">
        <v>42</v>
      </c>
      <c r="J2" s="9"/>
      <c r="K2" s="9"/>
    </row>
    <row r="3" customFormat="false" ht="60" hidden="false" customHeight="true" outlineLevel="0" collapsed="false">
      <c r="A3" s="6" t="s">
        <v>43</v>
      </c>
      <c r="B3" s="7" t="s">
        <v>36</v>
      </c>
      <c r="C3" s="7" t="s">
        <v>44</v>
      </c>
      <c r="D3" s="7" t="s">
        <v>45</v>
      </c>
      <c r="E3" s="7" t="s">
        <v>46</v>
      </c>
      <c r="F3" s="7" t="s">
        <v>47</v>
      </c>
      <c r="G3" s="7" t="s">
        <v>41</v>
      </c>
      <c r="H3" s="8"/>
      <c r="I3" s="9" t="s">
        <v>42</v>
      </c>
      <c r="J3" s="9"/>
      <c r="K3" s="9"/>
    </row>
    <row r="4" customFormat="false" ht="73.5" hidden="false" customHeight="true" outlineLevel="0" collapsed="false">
      <c r="A4" s="6" t="s">
        <v>48</v>
      </c>
      <c r="B4" s="7" t="s">
        <v>36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8"/>
      <c r="I4" s="9" t="s">
        <v>42</v>
      </c>
      <c r="J4" s="9"/>
      <c r="K4" s="9"/>
    </row>
    <row r="5" customFormat="false" ht="33" hidden="false" customHeight="true" outlineLevel="0" collapsed="false">
      <c r="A5" s="6" t="s">
        <v>54</v>
      </c>
      <c r="B5" s="7" t="s">
        <v>36</v>
      </c>
      <c r="C5" s="7" t="s">
        <v>55</v>
      </c>
      <c r="D5" s="7" t="s">
        <v>56</v>
      </c>
      <c r="E5" s="7" t="s">
        <v>57</v>
      </c>
      <c r="F5" s="7" t="s">
        <v>58</v>
      </c>
      <c r="G5" s="7" t="s">
        <v>41</v>
      </c>
      <c r="H5" s="8"/>
      <c r="I5" s="9" t="s">
        <v>42</v>
      </c>
      <c r="J5" s="9"/>
      <c r="K5" s="9"/>
    </row>
    <row r="6" customFormat="false" ht="46.5" hidden="false" customHeight="true" outlineLevel="0" collapsed="false">
      <c r="A6" s="6" t="s">
        <v>59</v>
      </c>
      <c r="B6" s="7" t="s">
        <v>60</v>
      </c>
      <c r="C6" s="7" t="s">
        <v>61</v>
      </c>
      <c r="D6" s="7" t="s">
        <v>62</v>
      </c>
      <c r="E6" s="7" t="s">
        <v>63</v>
      </c>
      <c r="F6" s="7" t="s">
        <v>64</v>
      </c>
      <c r="G6" s="7" t="s">
        <v>65</v>
      </c>
      <c r="H6" s="8"/>
      <c r="I6" s="9" t="s">
        <v>42</v>
      </c>
      <c r="J6" s="9"/>
      <c r="K6" s="9"/>
    </row>
    <row r="7" customFormat="false" ht="46.5" hidden="false" customHeight="true" outlineLevel="0" collapsed="false">
      <c r="A7" s="6" t="s">
        <v>66</v>
      </c>
      <c r="B7" s="7" t="s">
        <v>60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65</v>
      </c>
      <c r="H7" s="8"/>
      <c r="I7" s="9" t="s">
        <v>42</v>
      </c>
      <c r="J7" s="9"/>
      <c r="K7" s="9"/>
    </row>
    <row r="8" customFormat="false" ht="46.5" hidden="false" customHeight="true" outlineLevel="0" collapsed="false">
      <c r="A8" s="6" t="s">
        <v>71</v>
      </c>
      <c r="B8" s="7" t="s">
        <v>72</v>
      </c>
      <c r="C8" s="7" t="s">
        <v>73</v>
      </c>
      <c r="D8" s="7" t="s">
        <v>74</v>
      </c>
      <c r="E8" s="7" t="s">
        <v>75</v>
      </c>
      <c r="F8" s="7" t="s">
        <v>76</v>
      </c>
      <c r="G8" s="7" t="s">
        <v>41</v>
      </c>
      <c r="H8" s="8"/>
      <c r="I8" s="9" t="s">
        <v>42</v>
      </c>
      <c r="J8" s="9"/>
      <c r="K8" s="9"/>
    </row>
    <row r="9" customFormat="false" ht="46.5" hidden="false" customHeight="true" outlineLevel="0" collapsed="false">
      <c r="A9" s="6" t="s">
        <v>77</v>
      </c>
      <c r="B9" s="7" t="s">
        <v>72</v>
      </c>
      <c r="C9" s="7" t="s">
        <v>78</v>
      </c>
      <c r="D9" s="7" t="s">
        <v>79</v>
      </c>
      <c r="E9" s="7" t="s">
        <v>80</v>
      </c>
      <c r="F9" s="7" t="s">
        <v>81</v>
      </c>
      <c r="G9" s="7" t="s">
        <v>41</v>
      </c>
      <c r="H9" s="8"/>
      <c r="I9" s="9" t="s">
        <v>42</v>
      </c>
      <c r="J9" s="9"/>
      <c r="K9" s="9"/>
    </row>
    <row r="10" customFormat="false" ht="60" hidden="false" customHeight="true" outlineLevel="0" collapsed="false">
      <c r="A10" s="6" t="s">
        <v>82</v>
      </c>
      <c r="B10" s="7" t="s">
        <v>83</v>
      </c>
      <c r="C10" s="7" t="s">
        <v>84</v>
      </c>
      <c r="D10" s="7" t="s">
        <v>85</v>
      </c>
      <c r="E10" s="7" t="s">
        <v>86</v>
      </c>
      <c r="F10" s="7" t="s">
        <v>87</v>
      </c>
      <c r="G10" s="7" t="s">
        <v>88</v>
      </c>
      <c r="H10" s="8"/>
      <c r="I10" s="9" t="s">
        <v>42</v>
      </c>
      <c r="J10" s="9"/>
      <c r="K10" s="9"/>
    </row>
    <row r="11" customFormat="false" ht="33" hidden="false" customHeight="true" outlineLevel="0" collapsed="false">
      <c r="A11" s="6" t="s">
        <v>89</v>
      </c>
      <c r="B11" s="7" t="s">
        <v>83</v>
      </c>
      <c r="C11" s="7" t="s">
        <v>90</v>
      </c>
      <c r="D11" s="7" t="s">
        <v>91</v>
      </c>
      <c r="E11" s="7" t="s">
        <v>92</v>
      </c>
      <c r="F11" s="7" t="s">
        <v>93</v>
      </c>
      <c r="G11" s="7" t="s">
        <v>94</v>
      </c>
      <c r="H11" s="8"/>
      <c r="I11" s="9" t="s">
        <v>42</v>
      </c>
      <c r="J11" s="9"/>
      <c r="K11" s="9"/>
    </row>
    <row r="12" customFormat="false" ht="46.5" hidden="false" customHeight="true" outlineLevel="0" collapsed="false">
      <c r="A12" s="6" t="s">
        <v>95</v>
      </c>
      <c r="B12" s="7" t="s">
        <v>83</v>
      </c>
      <c r="C12" s="7" t="s">
        <v>96</v>
      </c>
      <c r="D12" s="7" t="s">
        <v>97</v>
      </c>
      <c r="E12" s="7" t="s">
        <v>98</v>
      </c>
      <c r="F12" s="7" t="s">
        <v>99</v>
      </c>
      <c r="G12" s="7" t="s">
        <v>65</v>
      </c>
      <c r="H12" s="8"/>
      <c r="I12" s="9" t="s">
        <v>42</v>
      </c>
      <c r="J12" s="9"/>
      <c r="K12" s="9"/>
    </row>
    <row r="13" customFormat="false" ht="60" hidden="false" customHeight="true" outlineLevel="0" collapsed="false">
      <c r="A13" s="6" t="s">
        <v>100</v>
      </c>
      <c r="B13" s="7" t="s">
        <v>101</v>
      </c>
      <c r="C13" s="7" t="s">
        <v>102</v>
      </c>
      <c r="D13" s="7" t="s">
        <v>103</v>
      </c>
      <c r="E13" s="7" t="s">
        <v>104</v>
      </c>
      <c r="F13" s="7" t="s">
        <v>105</v>
      </c>
      <c r="G13" s="7" t="s">
        <v>106</v>
      </c>
      <c r="H13" s="8"/>
      <c r="I13" s="9" t="s">
        <v>42</v>
      </c>
      <c r="J13" s="9"/>
      <c r="K13" s="9"/>
    </row>
    <row r="14" customFormat="false" ht="60" hidden="false" customHeight="true" outlineLevel="0" collapsed="false">
      <c r="A14" s="6" t="s">
        <v>107</v>
      </c>
      <c r="B14" s="7" t="s">
        <v>108</v>
      </c>
      <c r="C14" s="7" t="s">
        <v>109</v>
      </c>
      <c r="D14" s="7" t="s">
        <v>110</v>
      </c>
      <c r="E14" s="7" t="s">
        <v>111</v>
      </c>
      <c r="F14" s="7" t="s">
        <v>112</v>
      </c>
      <c r="G14" s="7" t="s">
        <v>41</v>
      </c>
      <c r="H14" s="8"/>
      <c r="I14" s="9" t="s">
        <v>42</v>
      </c>
      <c r="J14" s="9"/>
      <c r="K14" s="9"/>
    </row>
    <row r="15" customFormat="false" ht="46.5" hidden="false" customHeight="true" outlineLevel="0" collapsed="false">
      <c r="A15" s="6" t="s">
        <v>113</v>
      </c>
      <c r="B15" s="7" t="s">
        <v>108</v>
      </c>
      <c r="C15" s="7" t="s">
        <v>114</v>
      </c>
      <c r="D15" s="7" t="s">
        <v>115</v>
      </c>
      <c r="E15" s="7" t="s">
        <v>116</v>
      </c>
      <c r="F15" s="7" t="s">
        <v>117</v>
      </c>
      <c r="G15" s="7" t="s">
        <v>118</v>
      </c>
      <c r="H15" s="8"/>
      <c r="I15" s="9" t="s">
        <v>42</v>
      </c>
      <c r="J15" s="9"/>
      <c r="K15" s="9"/>
    </row>
    <row r="16" customFormat="false" ht="46.5" hidden="false" customHeight="true" outlineLevel="0" collapsed="false">
      <c r="A16" s="6" t="s">
        <v>119</v>
      </c>
      <c r="B16" s="7" t="s">
        <v>108</v>
      </c>
      <c r="C16" s="7" t="s">
        <v>120</v>
      </c>
      <c r="D16" s="7" t="s">
        <v>121</v>
      </c>
      <c r="E16" s="7" t="s">
        <v>122</v>
      </c>
      <c r="F16" s="7" t="s">
        <v>123</v>
      </c>
      <c r="G16" s="7" t="s">
        <v>41</v>
      </c>
      <c r="H16" s="8"/>
      <c r="I16" s="9" t="s">
        <v>42</v>
      </c>
      <c r="J16" s="9"/>
      <c r="K16" s="9"/>
    </row>
    <row r="17" customFormat="false" ht="33" hidden="false" customHeight="true" outlineLevel="0" collapsed="false">
      <c r="A17" s="6" t="s">
        <v>124</v>
      </c>
      <c r="B17" s="7" t="s">
        <v>108</v>
      </c>
      <c r="C17" s="7" t="s">
        <v>125</v>
      </c>
      <c r="D17" s="7" t="s">
        <v>126</v>
      </c>
      <c r="E17" s="7" t="s">
        <v>127</v>
      </c>
      <c r="F17" s="7" t="s">
        <v>128</v>
      </c>
      <c r="G17" s="7" t="s">
        <v>41</v>
      </c>
      <c r="H17" s="8"/>
      <c r="I17" s="9" t="s">
        <v>42</v>
      </c>
      <c r="J17" s="9"/>
      <c r="K17" s="9"/>
    </row>
    <row r="18" customFormat="false" ht="33" hidden="false" customHeight="true" outlineLevel="0" collapsed="false">
      <c r="A18" s="6" t="s">
        <v>129</v>
      </c>
      <c r="B18" s="7" t="s">
        <v>130</v>
      </c>
      <c r="C18" s="7" t="s">
        <v>131</v>
      </c>
      <c r="D18" s="7" t="s">
        <v>132</v>
      </c>
      <c r="E18" s="7" t="s">
        <v>133</v>
      </c>
      <c r="F18" s="7" t="s">
        <v>134</v>
      </c>
      <c r="G18" s="7" t="s">
        <v>94</v>
      </c>
      <c r="H18" s="8"/>
      <c r="I18" s="9" t="s">
        <v>42</v>
      </c>
      <c r="J18" s="9"/>
      <c r="K18" s="9"/>
    </row>
    <row r="19" customFormat="false" ht="33" hidden="false" customHeight="true" outlineLevel="0" collapsed="false">
      <c r="A19" s="6" t="s">
        <v>135</v>
      </c>
      <c r="B19" s="7" t="s">
        <v>130</v>
      </c>
      <c r="C19" s="7" t="s">
        <v>136</v>
      </c>
      <c r="D19" s="7" t="s">
        <v>137</v>
      </c>
      <c r="E19" s="7" t="s">
        <v>92</v>
      </c>
      <c r="F19" s="7" t="s">
        <v>138</v>
      </c>
      <c r="G19" s="7" t="s">
        <v>94</v>
      </c>
      <c r="H19" s="8"/>
      <c r="I19" s="9" t="s">
        <v>42</v>
      </c>
      <c r="J19" s="9"/>
      <c r="K19" s="9"/>
    </row>
    <row r="20" customFormat="false" ht="46.5" hidden="false" customHeight="true" outlineLevel="0" collapsed="false">
      <c r="A20" s="6" t="s">
        <v>139</v>
      </c>
      <c r="B20" s="7" t="s">
        <v>130</v>
      </c>
      <c r="C20" s="7" t="s">
        <v>140</v>
      </c>
      <c r="D20" s="7" t="s">
        <v>141</v>
      </c>
      <c r="E20" s="7" t="s">
        <v>92</v>
      </c>
      <c r="F20" s="7" t="s">
        <v>142</v>
      </c>
      <c r="G20" s="7" t="s">
        <v>94</v>
      </c>
      <c r="H20" s="8"/>
      <c r="I20" s="9" t="s">
        <v>42</v>
      </c>
      <c r="J20" s="9"/>
      <c r="K20" s="9"/>
    </row>
    <row r="21" customFormat="false" ht="60" hidden="false" customHeight="true" outlineLevel="0" collapsed="false">
      <c r="A21" s="6" t="s">
        <v>143</v>
      </c>
      <c r="B21" s="7" t="s">
        <v>144</v>
      </c>
      <c r="C21" s="7" t="s">
        <v>145</v>
      </c>
      <c r="D21" s="7" t="s">
        <v>146</v>
      </c>
      <c r="E21" s="7" t="s">
        <v>147</v>
      </c>
      <c r="F21" s="7" t="s">
        <v>148</v>
      </c>
      <c r="G21" s="7" t="s">
        <v>41</v>
      </c>
      <c r="H21" s="8"/>
      <c r="I21" s="9" t="s">
        <v>42</v>
      </c>
      <c r="J21" s="9"/>
      <c r="K21" s="9"/>
    </row>
    <row r="22" customFormat="false" ht="46.5" hidden="false" customHeight="true" outlineLevel="0" collapsed="false">
      <c r="A22" s="6" t="s">
        <v>149</v>
      </c>
      <c r="B22" s="7" t="s">
        <v>144</v>
      </c>
      <c r="C22" s="7" t="s">
        <v>150</v>
      </c>
      <c r="D22" s="7" t="s">
        <v>151</v>
      </c>
      <c r="E22" s="7" t="s">
        <v>92</v>
      </c>
      <c r="F22" s="7" t="s">
        <v>152</v>
      </c>
      <c r="G22" s="7" t="s">
        <v>41</v>
      </c>
      <c r="H22" s="8"/>
      <c r="I22" s="9" t="s">
        <v>42</v>
      </c>
      <c r="J22" s="9"/>
      <c r="K22" s="9"/>
    </row>
    <row r="23" customFormat="false" ht="33" hidden="false" customHeight="true" outlineLevel="0" collapsed="false">
      <c r="A23" s="6" t="s">
        <v>153</v>
      </c>
      <c r="B23" s="7" t="s">
        <v>144</v>
      </c>
      <c r="C23" s="7" t="s">
        <v>154</v>
      </c>
      <c r="D23" s="7" t="s">
        <v>155</v>
      </c>
      <c r="E23" s="7" t="s">
        <v>147</v>
      </c>
      <c r="F23" s="7" t="s">
        <v>156</v>
      </c>
      <c r="G23" s="7" t="s">
        <v>41</v>
      </c>
      <c r="H23" s="8"/>
      <c r="I23" s="9" t="s">
        <v>42</v>
      </c>
      <c r="J23" s="9"/>
      <c r="K23" s="9"/>
    </row>
    <row r="24" customFormat="false" ht="33" hidden="false" customHeight="true" outlineLevel="0" collapsed="false">
      <c r="A24" s="6" t="s">
        <v>157</v>
      </c>
      <c r="B24" s="7" t="s">
        <v>158</v>
      </c>
      <c r="C24" s="7" t="s">
        <v>159</v>
      </c>
      <c r="D24" s="7" t="s">
        <v>160</v>
      </c>
      <c r="E24" s="7" t="s">
        <v>161</v>
      </c>
      <c r="F24" s="7" t="s">
        <v>162</v>
      </c>
      <c r="G24" s="7" t="s">
        <v>163</v>
      </c>
      <c r="H24" s="8"/>
      <c r="I24" s="9" t="s">
        <v>42</v>
      </c>
      <c r="J24" s="9"/>
      <c r="K24" s="9"/>
    </row>
    <row r="25" customFormat="false" ht="46.5" hidden="false" customHeight="true" outlineLevel="0" collapsed="false">
      <c r="A25" s="6" t="s">
        <v>164</v>
      </c>
      <c r="B25" s="7" t="s">
        <v>158</v>
      </c>
      <c r="C25" s="7" t="s">
        <v>165</v>
      </c>
      <c r="D25" s="7" t="s">
        <v>166</v>
      </c>
      <c r="E25" s="7" t="s">
        <v>167</v>
      </c>
      <c r="F25" s="7" t="s">
        <v>168</v>
      </c>
      <c r="G25" s="7" t="s">
        <v>169</v>
      </c>
      <c r="H25" s="8"/>
      <c r="I25" s="9" t="s">
        <v>42</v>
      </c>
      <c r="J25" s="9"/>
      <c r="K25" s="9"/>
    </row>
    <row r="26" customFormat="false" ht="33" hidden="false" customHeight="true" outlineLevel="0" collapsed="false">
      <c r="A26" s="6" t="s">
        <v>170</v>
      </c>
      <c r="B26" s="7" t="s">
        <v>171</v>
      </c>
      <c r="C26" s="7" t="s">
        <v>172</v>
      </c>
      <c r="D26" s="7" t="s">
        <v>173</v>
      </c>
      <c r="E26" s="7" t="s">
        <v>174</v>
      </c>
      <c r="F26" s="7" t="s">
        <v>175</v>
      </c>
      <c r="G26" s="7" t="s">
        <v>176</v>
      </c>
      <c r="H26" s="8"/>
      <c r="I26" s="9" t="s">
        <v>42</v>
      </c>
      <c r="J26" s="9"/>
      <c r="K26" s="9"/>
    </row>
    <row r="27" customFormat="false" ht="46.5" hidden="false" customHeight="true" outlineLevel="0" collapsed="false">
      <c r="A27" s="6" t="s">
        <v>177</v>
      </c>
      <c r="B27" s="7" t="s">
        <v>171</v>
      </c>
      <c r="C27" s="7" t="s">
        <v>178</v>
      </c>
      <c r="D27" s="7" t="s">
        <v>179</v>
      </c>
      <c r="E27" s="7" t="s">
        <v>92</v>
      </c>
      <c r="F27" s="7" t="s">
        <v>180</v>
      </c>
      <c r="G27" s="7" t="s">
        <v>176</v>
      </c>
      <c r="H27" s="8"/>
      <c r="I27" s="9" t="s">
        <v>42</v>
      </c>
      <c r="J27" s="9"/>
      <c r="K27" s="9"/>
    </row>
    <row r="28" customFormat="false" ht="33" hidden="false" customHeight="true" outlineLevel="0" collapsed="false">
      <c r="A28" s="6" t="s">
        <v>181</v>
      </c>
      <c r="B28" s="7" t="s">
        <v>171</v>
      </c>
      <c r="C28" s="7" t="s">
        <v>182</v>
      </c>
      <c r="D28" s="7" t="s">
        <v>183</v>
      </c>
      <c r="E28" s="7" t="s">
        <v>92</v>
      </c>
      <c r="F28" s="7" t="s">
        <v>184</v>
      </c>
      <c r="G28" s="7" t="s">
        <v>176</v>
      </c>
      <c r="H28" s="8"/>
      <c r="I28" s="9" t="s">
        <v>42</v>
      </c>
      <c r="J28" s="9"/>
      <c r="K28" s="9"/>
    </row>
    <row r="29" customFormat="false" ht="46.5" hidden="false" customHeight="true" outlineLevel="0" collapsed="false">
      <c r="A29" s="6" t="s">
        <v>185</v>
      </c>
      <c r="B29" s="7" t="s">
        <v>186</v>
      </c>
      <c r="C29" s="7" t="s">
        <v>187</v>
      </c>
      <c r="D29" s="7" t="s">
        <v>188</v>
      </c>
      <c r="E29" s="7" t="s">
        <v>189</v>
      </c>
      <c r="F29" s="7" t="s">
        <v>190</v>
      </c>
      <c r="G29" s="7" t="s">
        <v>191</v>
      </c>
      <c r="H29" s="8"/>
      <c r="I29" s="9" t="s">
        <v>42</v>
      </c>
      <c r="J29" s="9"/>
      <c r="K29" s="9"/>
    </row>
    <row r="30" customFormat="false" ht="46.5" hidden="false" customHeight="true" outlineLevel="0" collapsed="false">
      <c r="A30" s="6" t="s">
        <v>192</v>
      </c>
      <c r="B30" s="7" t="s">
        <v>186</v>
      </c>
      <c r="C30" s="7" t="s">
        <v>193</v>
      </c>
      <c r="D30" s="7" t="s">
        <v>194</v>
      </c>
      <c r="E30" s="7" t="s">
        <v>189</v>
      </c>
      <c r="F30" s="7" t="s">
        <v>195</v>
      </c>
      <c r="G30" s="7" t="s">
        <v>191</v>
      </c>
      <c r="H30" s="8"/>
      <c r="I30" s="9" t="s">
        <v>42</v>
      </c>
      <c r="J30" s="9"/>
      <c r="K30" s="9"/>
    </row>
    <row r="31" customFormat="false" ht="46.5" hidden="false" customHeight="true" outlineLevel="0" collapsed="false">
      <c r="A31" s="6" t="s">
        <v>196</v>
      </c>
      <c r="B31" s="7" t="s">
        <v>186</v>
      </c>
      <c r="C31" s="7" t="s">
        <v>197</v>
      </c>
      <c r="D31" s="7" t="s">
        <v>198</v>
      </c>
      <c r="E31" s="7" t="s">
        <v>189</v>
      </c>
      <c r="F31" s="7" t="s">
        <v>199</v>
      </c>
      <c r="G31" s="7" t="s">
        <v>191</v>
      </c>
      <c r="H31" s="8"/>
      <c r="I31" s="9" t="s">
        <v>42</v>
      </c>
      <c r="J31" s="9"/>
      <c r="K31" s="9"/>
    </row>
  </sheetData>
  <autoFilter ref="A1:K31"/>
  <conditionalFormatting sqref="I2:I3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Style="stop" operator="between" showDropDown="false" showErrorMessage="false" showInputMessage="false" sqref="I2:I31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</cols>
  <sheetData>
    <row r="1" customFormat="false" ht="16.15" hidden="false" customHeight="false" outlineLevel="0" collapsed="false">
      <c r="A1" s="10" t="s">
        <v>200</v>
      </c>
    </row>
    <row r="3" customFormat="false" ht="15" hidden="false" customHeight="false" outlineLevel="0" collapsed="false">
      <c r="A3" s="11" t="s">
        <v>32</v>
      </c>
      <c r="B3" s="11" t="s">
        <v>201</v>
      </c>
      <c r="C3" s="11" t="s">
        <v>202</v>
      </c>
    </row>
    <row r="4" customFormat="false" ht="15" hidden="false" customHeight="false" outlineLevel="0" collapsed="false">
      <c r="A4" s="12" t="s">
        <v>203</v>
      </c>
      <c r="B4" s="13" t="n">
        <f aca="false">COUNTIF('Test cases'!$I$2:$I$31,A4)</f>
        <v>0</v>
      </c>
      <c r="C4" s="14" t="n">
        <f aca="false">IFERROR(B4/$B$8,0)</f>
        <v>0</v>
      </c>
    </row>
    <row r="5" customFormat="false" ht="15" hidden="false" customHeight="false" outlineLevel="0" collapsed="false">
      <c r="A5" s="12" t="s">
        <v>204</v>
      </c>
      <c r="B5" s="13" t="n">
        <f aca="false">COUNTIF('Test cases'!$I$2:$I$31,A5)</f>
        <v>0</v>
      </c>
      <c r="C5" s="14" t="n">
        <f aca="false">IFERROR(B5/$B$8,0)</f>
        <v>0</v>
      </c>
    </row>
    <row r="6" customFormat="false" ht="15" hidden="false" customHeight="false" outlineLevel="0" collapsed="false">
      <c r="A6" s="12" t="s">
        <v>205</v>
      </c>
      <c r="B6" s="13" t="n">
        <f aca="false">COUNTIF('Test cases'!$I$2:$I$31,A6)</f>
        <v>0</v>
      </c>
      <c r="C6" s="14" t="n">
        <f aca="false">IFERROR(B6/$B$8,0)</f>
        <v>0</v>
      </c>
    </row>
    <row r="7" customFormat="false" ht="15" hidden="false" customHeight="false" outlineLevel="0" collapsed="false">
      <c r="A7" s="12" t="s">
        <v>42</v>
      </c>
      <c r="B7" s="13" t="n">
        <f aca="false">COUNTIF('Test cases'!$I$2:$I$31,A7)</f>
        <v>30</v>
      </c>
      <c r="C7" s="14" t="n">
        <f aca="false">IFERROR(B7/$B$8,0)</f>
        <v>1</v>
      </c>
    </row>
    <row r="8" customFormat="false" ht="15" hidden="false" customHeight="false" outlineLevel="0" collapsed="false">
      <c r="A8" s="12" t="s">
        <v>206</v>
      </c>
      <c r="B8" s="12" t="n">
        <f aca="false">SUM(B4:B7)</f>
        <v>30</v>
      </c>
      <c r="C8" s="15" t="n">
        <f aca="false">SUM(C4:C7)</f>
        <v>1</v>
      </c>
    </row>
    <row r="10" customFormat="false" ht="15" hidden="false" customHeight="false" outlineLevel="0" collapsed="false">
      <c r="A10" s="16" t="s">
        <v>207</v>
      </c>
      <c r="B10" s="16" t="str">
        <f aca="false">IF(AND(B5=0,B6=0,B7=0,B8&gt;0),"Yes, if Helen signs off","Not yet")</f>
        <v>Not yet</v>
      </c>
    </row>
    <row r="11" customFormat="false" ht="15" hidden="false" customHeight="false" outlineLevel="0" collapsed="false">
      <c r="A11" s="17" t="s">
        <v>208</v>
      </c>
    </row>
    <row r="13" customFormat="false" ht="15" hidden="false" customHeight="false" outlineLevel="0" collapsed="false">
      <c r="A13" s="18" t="s">
        <v>209</v>
      </c>
    </row>
    <row r="14" customFormat="false" ht="15" hidden="false" customHeight="false" outlineLevel="0" collapsed="false">
      <c r="A14" s="11" t="s">
        <v>25</v>
      </c>
      <c r="B14" s="11" t="s">
        <v>201</v>
      </c>
      <c r="C14" s="11" t="s">
        <v>210</v>
      </c>
      <c r="D14" s="11" t="s">
        <v>211</v>
      </c>
    </row>
    <row r="15" customFormat="false" ht="15" hidden="false" customHeight="false" outlineLevel="0" collapsed="false">
      <c r="A15" s="13" t="s">
        <v>36</v>
      </c>
      <c r="B15" s="13" t="n">
        <f aca="false">COUNTIF('Test cases'!$B$2:$B$31,A15)</f>
        <v>4</v>
      </c>
      <c r="C15" s="13" t="n">
        <f aca="false">COUNTIFS('Test cases'!$B$2:$B$31,A15,'Test cases'!$I$2:$I$31,"Pass")</f>
        <v>0</v>
      </c>
      <c r="D15" s="13" t="n">
        <f aca="false">COUNTIFS('Test cases'!$B$2:$B$31,A15,'Test cases'!$I$2:$I$31,"Fail")</f>
        <v>0</v>
      </c>
    </row>
    <row r="16" customFormat="false" ht="15" hidden="false" customHeight="false" outlineLevel="0" collapsed="false">
      <c r="A16" s="13" t="s">
        <v>60</v>
      </c>
      <c r="B16" s="13" t="n">
        <f aca="false">COUNTIF('Test cases'!$B$2:$B$31,A16)</f>
        <v>2</v>
      </c>
      <c r="C16" s="13" t="n">
        <f aca="false">COUNTIFS('Test cases'!$B$2:$B$31,A16,'Test cases'!$I$2:$I$31,"Pass")</f>
        <v>0</v>
      </c>
      <c r="D16" s="13" t="n">
        <f aca="false">COUNTIFS('Test cases'!$B$2:$B$31,A16,'Test cases'!$I$2:$I$31,"Fail")</f>
        <v>0</v>
      </c>
    </row>
    <row r="17" customFormat="false" ht="15" hidden="false" customHeight="false" outlineLevel="0" collapsed="false">
      <c r="A17" s="13" t="s">
        <v>72</v>
      </c>
      <c r="B17" s="13" t="n">
        <f aca="false">COUNTIF('Test cases'!$B$2:$B$31,A17)</f>
        <v>2</v>
      </c>
      <c r="C17" s="13" t="n">
        <f aca="false">COUNTIFS('Test cases'!$B$2:$B$31,A17,'Test cases'!$I$2:$I$31,"Pass")</f>
        <v>0</v>
      </c>
      <c r="D17" s="13" t="n">
        <f aca="false">COUNTIFS('Test cases'!$B$2:$B$31,A17,'Test cases'!$I$2:$I$31,"Fail")</f>
        <v>0</v>
      </c>
    </row>
    <row r="18" customFormat="false" ht="15" hidden="false" customHeight="false" outlineLevel="0" collapsed="false">
      <c r="A18" s="13" t="s">
        <v>83</v>
      </c>
      <c r="B18" s="13" t="n">
        <f aca="false">COUNTIF('Test cases'!$B$2:$B$31,A18)</f>
        <v>3</v>
      </c>
      <c r="C18" s="13" t="n">
        <f aca="false">COUNTIFS('Test cases'!$B$2:$B$31,A18,'Test cases'!$I$2:$I$31,"Pass")</f>
        <v>0</v>
      </c>
      <c r="D18" s="13" t="n">
        <f aca="false">COUNTIFS('Test cases'!$B$2:$B$31,A18,'Test cases'!$I$2:$I$31,"Fail")</f>
        <v>0</v>
      </c>
    </row>
    <row r="19" customFormat="false" ht="15" hidden="false" customHeight="false" outlineLevel="0" collapsed="false">
      <c r="A19" s="13" t="s">
        <v>101</v>
      </c>
      <c r="B19" s="13" t="n">
        <f aca="false">COUNTIF('Test cases'!$B$2:$B$31,A19)</f>
        <v>1</v>
      </c>
      <c r="C19" s="13" t="n">
        <f aca="false">COUNTIFS('Test cases'!$B$2:$B$31,A19,'Test cases'!$I$2:$I$31,"Pass")</f>
        <v>0</v>
      </c>
      <c r="D19" s="13" t="n">
        <f aca="false">COUNTIFS('Test cases'!$B$2:$B$31,A19,'Test cases'!$I$2:$I$31,"Fail")</f>
        <v>0</v>
      </c>
    </row>
    <row r="20" customFormat="false" ht="15" hidden="false" customHeight="false" outlineLevel="0" collapsed="false">
      <c r="A20" s="13" t="s">
        <v>108</v>
      </c>
      <c r="B20" s="13" t="n">
        <f aca="false">COUNTIF('Test cases'!$B$2:$B$31,A20)</f>
        <v>4</v>
      </c>
      <c r="C20" s="13" t="n">
        <f aca="false">COUNTIFS('Test cases'!$B$2:$B$31,A20,'Test cases'!$I$2:$I$31,"Pass")</f>
        <v>0</v>
      </c>
      <c r="D20" s="13" t="n">
        <f aca="false">COUNTIFS('Test cases'!$B$2:$B$31,A20,'Test cases'!$I$2:$I$31,"Fail")</f>
        <v>0</v>
      </c>
    </row>
    <row r="21" customFormat="false" ht="15" hidden="false" customHeight="false" outlineLevel="0" collapsed="false">
      <c r="A21" s="13" t="s">
        <v>130</v>
      </c>
      <c r="B21" s="13" t="n">
        <f aca="false">COUNTIF('Test cases'!$B$2:$B$31,A21)</f>
        <v>3</v>
      </c>
      <c r="C21" s="13" t="n">
        <f aca="false">COUNTIFS('Test cases'!$B$2:$B$31,A21,'Test cases'!$I$2:$I$31,"Pass")</f>
        <v>0</v>
      </c>
      <c r="D21" s="13" t="n">
        <f aca="false">COUNTIFS('Test cases'!$B$2:$B$31,A21,'Test cases'!$I$2:$I$31,"Fail")</f>
        <v>0</v>
      </c>
    </row>
    <row r="22" customFormat="false" ht="15" hidden="false" customHeight="false" outlineLevel="0" collapsed="false">
      <c r="A22" s="13" t="s">
        <v>144</v>
      </c>
      <c r="B22" s="13" t="n">
        <f aca="false">COUNTIF('Test cases'!$B$2:$B$31,A22)</f>
        <v>3</v>
      </c>
      <c r="C22" s="13" t="n">
        <f aca="false">COUNTIFS('Test cases'!$B$2:$B$31,A22,'Test cases'!$I$2:$I$31,"Pass")</f>
        <v>0</v>
      </c>
      <c r="D22" s="13" t="n">
        <f aca="false">COUNTIFS('Test cases'!$B$2:$B$31,A22,'Test cases'!$I$2:$I$31,"Fail")</f>
        <v>0</v>
      </c>
    </row>
    <row r="23" customFormat="false" ht="15" hidden="false" customHeight="false" outlineLevel="0" collapsed="false">
      <c r="A23" s="13" t="s">
        <v>158</v>
      </c>
      <c r="B23" s="13" t="n">
        <f aca="false">COUNTIF('Test cases'!$B$2:$B$31,A23)</f>
        <v>2</v>
      </c>
      <c r="C23" s="13" t="n">
        <f aca="false">COUNTIFS('Test cases'!$B$2:$B$31,A23,'Test cases'!$I$2:$I$31,"Pass")</f>
        <v>0</v>
      </c>
      <c r="D23" s="13" t="n">
        <f aca="false">COUNTIFS('Test cases'!$B$2:$B$31,A23,'Test cases'!$I$2:$I$31,"Fail")</f>
        <v>0</v>
      </c>
    </row>
    <row r="24" customFormat="false" ht="15" hidden="false" customHeight="false" outlineLevel="0" collapsed="false">
      <c r="A24" s="13" t="s">
        <v>171</v>
      </c>
      <c r="B24" s="13" t="n">
        <f aca="false">COUNTIF('Test cases'!$B$2:$B$31,A24)</f>
        <v>3</v>
      </c>
      <c r="C24" s="13" t="n">
        <f aca="false">COUNTIFS('Test cases'!$B$2:$B$31,A24,'Test cases'!$I$2:$I$31,"Pass")</f>
        <v>0</v>
      </c>
      <c r="D24" s="13" t="n">
        <f aca="false">COUNTIFS('Test cases'!$B$2:$B$31,A24,'Test cases'!$I$2:$I$31,"Fail")</f>
        <v>0</v>
      </c>
    </row>
    <row r="25" customFormat="false" ht="15" hidden="false" customHeight="false" outlineLevel="0" collapsed="false">
      <c r="A25" s="13" t="s">
        <v>186</v>
      </c>
      <c r="B25" s="13" t="n">
        <f aca="false">COUNTIF('Test cases'!$B$2:$B$31,A25)</f>
        <v>3</v>
      </c>
      <c r="C25" s="13" t="n">
        <f aca="false">COUNTIFS('Test cases'!$B$2:$B$31,A25,'Test cases'!$I$2:$I$31,"Pass")</f>
        <v>0</v>
      </c>
      <c r="D25" s="13" t="n">
        <f aca="false">COUNTIFS('Test cases'!$B$2:$B$31,A25,'Test cases'!$I$2:$I$31,"Fail")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2026-10-04T17:28:50Z</dcterms:created>
  <dc:creator>openpyxl</dc:creator>
  <dc:description/>
  <dc:language>en-US</dc:language>
  <cp:lastModifiedBy/>
  <dcterms:modified xsi:type="dcterms:W3CDTF">2026-10-04T17:28:50Z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