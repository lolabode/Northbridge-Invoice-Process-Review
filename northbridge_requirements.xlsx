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User stories" sheetId="2" state="visible" r:id="rId4"/>
    <sheet name="Traceability" sheetId="3" state="visible" r:id="rId5"/>
    <sheet name="MoSCoW summary" sheetId="4" state="visible" r:id="rId6"/>
  </sheets>
  <definedNames>
    <definedName function="false" hidden="true" localSheetId="1" name="_xlnm._FilterDatabase" vbProcedure="false">'User stories'!$A$1:$K$15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<sst xmlns="http://schemas.openxmlformats.org/spreadsheetml/2006/main" count="291" uniqueCount="172">
  <si>
    <t xml:space="preserve">Northbridge Supplies: invoice approval requirements</t>
  </si>
  <si>
    <t xml:space="preserve">What this is</t>
  </si>
  <si>
    <t xml:space="preserve">The requirements for the recommended option (Option 2: quick wins plus the approval workflow module). Each requirement is a user story with acceptance criteria, a priority, and a link back to the root cause it fixes.</t>
  </si>
  <si>
    <t xml:space="preserve">Author</t>
  </si>
  <si>
    <t xml:space="preserve">Felicia Oyebode, Business Analyst</t>
  </si>
  <si>
    <t xml:space="preserve">Status</t>
  </si>
  <si>
    <t xml:space="preserve">Draft for review with Helen Marsh (Finance Director), Daniel Okafor (AP) and Priya Shah (IT)</t>
  </si>
  <si>
    <t xml:space="preserve">How to read a story</t>
  </si>
  <si>
    <t xml:space="preserve">As a [role], I want [something], so that [benefit]. The acceptance criteria say what must be true for the story to count as done. They are written as Given / When / Then so they can be used directly as UAT test cases.</t>
  </si>
  <si>
    <t xml:space="preserve">Priority (MoSCoW)</t>
  </si>
  <si>
    <t xml:space="preserve">Must</t>
  </si>
  <si>
    <t xml:space="preserve">Needed for go-live. The project fails without it.</t>
  </si>
  <si>
    <t xml:space="preserve">Should</t>
  </si>
  <si>
    <t xml:space="preserve">Important, but there is a workaround if it slips.</t>
  </si>
  <si>
    <t xml:space="preserve">Could</t>
  </si>
  <si>
    <t xml:space="preserve">Nice to have. Done if time and budget allow.</t>
  </si>
  <si>
    <t xml:space="preserve">Won't</t>
  </si>
  <si>
    <t xml:space="preserve">Agreed as out of scope this time, so nobody expects it.</t>
  </si>
  <si>
    <t xml:space="preserve">Root causes</t>
  </si>
  <si>
    <t xml:space="preserve">RC1</t>
  </si>
  <si>
    <t xml:space="preserve">PO problems (no PO or price mismatch): 28% of invoices, 57% of late payments</t>
  </si>
  <si>
    <t xml:space="preserve">RC2</t>
  </si>
  <si>
    <t xml:space="preserve">Slow approvals: Operations and Marketing Managers take 3 to 5 times longer than others</t>
  </si>
  <si>
    <t xml:space="preserve">RC3</t>
  </si>
  <si>
    <t xml:space="preserve">No duplicate payment check: 45 invoices paid twice in 2025, £158,776</t>
  </si>
  <si>
    <t xml:space="preserve">Phases</t>
  </si>
  <si>
    <t xml:space="preserve">A</t>
  </si>
  <si>
    <t xml:space="preserve">Quick wins, weeks 1 to 2</t>
  </si>
  <si>
    <t xml:space="preserve">B</t>
  </si>
  <si>
    <t xml:space="preserve">Approval workflow module, weeks 3 to 12</t>
  </si>
  <si>
    <t xml:space="preserve">C</t>
  </si>
  <si>
    <t xml:space="preserve">Electronic delivery confirmation, later follow-on project</t>
  </si>
  <si>
    <t xml:space="preserve">Note</t>
  </si>
  <si>
    <t xml:space="preserve">Northbridge Supplies is a fictional company. This is a portfolio case study.</t>
  </si>
  <si>
    <t xml:space="preserve">ID</t>
  </si>
  <si>
    <t xml:space="preserve">Theme</t>
  </si>
  <si>
    <t xml:space="preserve">As a</t>
  </si>
  <si>
    <t xml:space="preserve">I want</t>
  </si>
  <si>
    <t xml:space="preserve">So that</t>
  </si>
  <si>
    <t xml:space="preserve">Acceptance criteria</t>
  </si>
  <si>
    <t xml:space="preserve">Priority</t>
  </si>
  <si>
    <t xml:space="preserve">Root cause</t>
  </si>
  <si>
    <t xml:space="preserve">Source</t>
  </si>
  <si>
    <t xml:space="preserve">Phase</t>
  </si>
  <si>
    <t xml:space="preserve">Notes / open questions</t>
  </si>
  <si>
    <t xml:space="preserve">US01</t>
  </si>
  <si>
    <t xml:space="preserve">Stop duplicate payments</t>
  </si>
  <si>
    <t xml:space="preserve">Finance team</t>
  </si>
  <si>
    <t xml:space="preserve">the system to block any invoice with the same supplier and invoice number as one already logged</t>
  </si>
  <si>
    <t xml:space="preserve">we never pay the same invoice twice</t>
  </si>
  <si>
    <t xml:space="preserve">1. Given an invoice has the same supplier and invoice number as one already logged, when AP logs it, then payment is blocked and AP gets an alert linking to the original.
2. Given invoice numbers differ only by spaces, dashes or slashes, when the check runs, then they are still treated as a match.
3. Given a payment is blocked, when someone wants to release it, then only the Financial Controller can do so, and a reason must be recorded.</t>
  </si>
  <si>
    <t xml:space="preserve">Data analysis (45 paid twice, £158,776); Daniel; Priya; auditors</t>
  </si>
  <si>
    <t xml:space="preserve">Priya: settings change from 'warn' to 'block', a few days. Confirm with her whether the system can ignore spaces and punctuation.</t>
  </si>
  <si>
    <t xml:space="preserve">US02</t>
  </si>
  <si>
    <t xml:space="preserve">Financial Controller</t>
  </si>
  <si>
    <t xml:space="preserve">a list of every invoice paid twice in 2025</t>
  </si>
  <si>
    <t xml:space="preserve">we can ask those suppliers to pay the money back</t>
  </si>
  <si>
    <t xml:space="preserve">1. Given the 2025 duplicates have been identified, when the list is produced, then it shows supplier, invoice number, amount and both payment dates.
2. Given the list is complete, when the amounts are added up, then the total matches £158,776 across 45 invoices.
3. Given a supplier has been contacted, when the list is updated, then each line shows whether the money has been requested, agreed or received.</t>
  </si>
  <si>
    <t xml:space="preserve">Data analysis</t>
  </si>
  <si>
    <t xml:space="preserve">One-off piece of work, not a system change.</t>
  </si>
  <si>
    <t xml:space="preserve">US03</t>
  </si>
  <si>
    <t xml:space="preserve">Fix PO problems</t>
  </si>
  <si>
    <t xml:space="preserve">AP team</t>
  </si>
  <si>
    <t xml:space="preserve">to send back any invoice that has no valid PO number, using a standard email to the supplier</t>
  </si>
  <si>
    <t xml:space="preserve">we stop chasing managers to find out who ordered it</t>
  </si>
  <si>
    <t xml:space="preserve">1. Given an invoice has no PO number, when AP logs it, then it is returned to the supplier within 1 working day using the standard email.
2. Given an invoice is returned, when it is logged, then the system records it as 'returned: no PO' so it can be counted.
3. Given the supplier resends it with a valid PO, when AP receives it, then it goes through the normal process.</t>
  </si>
  <si>
    <t xml:space="preserve">Daniel; data analysis (28% have a PO problem)</t>
  </si>
  <si>
    <t xml:space="preserve">Needs Helen's backing and the 30-day supplier notice in US05 first.</t>
  </si>
  <si>
    <t xml:space="preserve">US04</t>
  </si>
  <si>
    <t xml:space="preserve">Operations supervisor</t>
  </si>
  <si>
    <t xml:space="preserve">a quick way to raise a PO for urgent jobs, even from my phone</t>
  </si>
  <si>
    <t xml:space="preserve">urgent work isn't held up and the invoice still arrives with a PO number</t>
  </si>
  <si>
    <t xml:space="preserve">1. Given an urgent job, when I raise an emergency PO, then I only need to enter supplier, description, rough cost and cost centre.
2. Given the form is submitted, when it is saved, then a PO number is issued straight away and the budget holder is told.
3. Given emergency POs are being used, when the month ends, then Finance gets a list of them to check they aren't being overused.</t>
  </si>
  <si>
    <t xml:space="preserve">Mark</t>
  </si>
  <si>
    <t xml:space="preserve">Start with a simple form. Could move into the finance system later.</t>
  </si>
  <si>
    <t xml:space="preserve">US05</t>
  </si>
  <si>
    <t xml:space="preserve">Procurement lead</t>
  </si>
  <si>
    <t xml:space="preserve">all regular suppliers to be told about the 'no PO, no pay' rule with 30 days' notice</t>
  </si>
  <si>
    <t xml:space="preserve">suppliers aren't caught out and know to quote a PO number</t>
  </si>
  <si>
    <t xml:space="preserve">1. Given the rule is agreed, when the notice goes out, then every supplier invoiced in the last 12 months receives it.
2. Given the notice is sent, when suppliers ask questions, then they have a named contact in Procurement.
3. Given 30 days have passed, when the rule starts, then AP begins returning invoices without a PO (US03).</t>
  </si>
  <si>
    <t xml:space="preserve">Daniel; options comparison</t>
  </si>
  <si>
    <t xml:space="preserve">US06</t>
  </si>
  <si>
    <t xml:space="preserve">Faster approvals</t>
  </si>
  <si>
    <t xml:space="preserve">the system to send each invoice to the right approver automatically, based on department and amount</t>
  </si>
  <si>
    <t xml:space="preserve">we don't have to work out who approves what or forward emails by hand</t>
  </si>
  <si>
    <t xml:space="preserve">1. Given a matched invoice, when it is ready for approval, then it reaches the right approver within 5 minutes.
2. Given an invoice is £10,000 or over, when the budget holder approves it, then it goes to the Finance Director automatically.
3. Given no approver is set up for a department, when an invoice arrives, then it goes to an AP queue and AP is alerted.</t>
  </si>
  <si>
    <t xml:space="preserve">Priya; Daniel</t>
  </si>
  <si>
    <t xml:space="preserve">Depends on an up-to-date approval list from Finance. This is why the 2023 pilot failed.</t>
  </si>
  <si>
    <t xml:space="preserve">US07</t>
  </si>
  <si>
    <t xml:space="preserve">Budget holder</t>
  </si>
  <si>
    <t xml:space="preserve">to approve invoices on my phone with the PO shown alongside</t>
  </si>
  <si>
    <t xml:space="preserve">I can approve quickly without going back to my desk or looking for information</t>
  </si>
  <si>
    <t xml:space="preserve">1. Given an invoice is sent for approval, when it is routed to me, then I get a phone notification within 5 minutes.
2. Given I open the invoice, when it loads, then the PO number, amount and supplier are shown next to it.
3. Given I reject an invoice, when I submit, then I must give a reason.</t>
  </si>
  <si>
    <t xml:space="preserve">Mark; Priya</t>
  </si>
  <si>
    <t xml:space="preserve">Priya: the workflow module comes with a mobile app.</t>
  </si>
  <si>
    <t xml:space="preserve">US08</t>
  </si>
  <si>
    <t xml:space="preserve">the system to send reminders and escalate approvals that stall</t>
  </si>
  <si>
    <t xml:space="preserve">we stop chasing by email, which took around 2,168 hours in 2025</t>
  </si>
  <si>
    <t xml:space="preserve">1. Given an approval has had no action for 3 working days, when the time passes, then the approver gets a reminder.
2. Given there is still no action after 5 working days, when the time passes, then the invoice goes to their backup approver and AP is told.
3. Given reminders are sent, when AP looks at an invoice, then they can see every reminder and when it went out.</t>
  </si>
  <si>
    <t xml:space="preserve">Daniel; data analysis (5,955 reminders)</t>
  </si>
  <si>
    <t xml:space="preserve">Agree the 3 and 5 day limits with Helen before go-live.</t>
  </si>
  <si>
    <t xml:space="preserve">US09</t>
  </si>
  <si>
    <t xml:space="preserve">Finance Director</t>
  </si>
  <si>
    <t xml:space="preserve">every budget holder to have a named backup approver</t>
  </si>
  <si>
    <t xml:space="preserve">approvals don't stop when someone is on holiday or off sick</t>
  </si>
  <si>
    <t xml:space="preserve">1. Given a budget holder is added to the approval list, when it is saved, then a backup approver must be entered.
2. Given a budget holder is marked as away, when an invoice arrives, then it goes straight to their backup.
3. Given a backup approves an invoice, when the record is saved, then it shows who approved it and that they were covering.</t>
  </si>
  <si>
    <t xml:space="preserve">Priya (risk raised in interview)</t>
  </si>
  <si>
    <t xml:space="preserve">US10</t>
  </si>
  <si>
    <t xml:space="preserve">AP team lead</t>
  </si>
  <si>
    <t xml:space="preserve">every query logged with an owner, a reason and a due date</t>
  </si>
  <si>
    <t xml:space="preserve">queries don't sit in a folder forgotten</t>
  </si>
  <si>
    <t xml:space="preserve">1. Given a query is raised, when it is saved, then an owner, reason and due date must be entered.
2. Given a query is past its due date, when AP opens their list, then it is highlighted.
3. Given a query is closed, when it is saved, then a short note on how it was resolved must be added.</t>
  </si>
  <si>
    <t xml:space="preserve">RC1, RC2</t>
  </si>
  <si>
    <t xml:space="preserve">Daniel; Mark</t>
  </si>
  <si>
    <t xml:space="preserve">Open question for Priya: can the workflow module track queries, or do we need a separate log?</t>
  </si>
  <si>
    <t xml:space="preserve">US11</t>
  </si>
  <si>
    <t xml:space="preserve">Warehouse supervisor</t>
  </si>
  <si>
    <t xml:space="preserve">to record deliveries on a tablet against the PO, including part deliveries</t>
  </si>
  <si>
    <t xml:space="preserve">approvers can see goods have arrived without walking to the warehouse</t>
  </si>
  <si>
    <t xml:space="preserve">1. Given goods arrive, when I record the delivery, then I can enter the quantity received against each PO line.
2. Given only part of an order arrives, when I record it, then the PO shows what is still outstanding.
3. Given a delivery is recorded, when the approver opens the invoice, then they can see it.</t>
  </si>
  <si>
    <t xml:space="preserve">Needs a warehouse process change and tablets. Separate follow-on project.</t>
  </si>
  <si>
    <t xml:space="preserve">US12</t>
  </si>
  <si>
    <t xml:space="preserve">Measure the change</t>
  </si>
  <si>
    <t xml:space="preserve">a monthly dashboard showing how the invoice process is performing</t>
  </si>
  <si>
    <t xml:space="preserve">I can see whether the changes are working and act if they aren't</t>
  </si>
  <si>
    <t xml:space="preserve">1. Given the month has ended, when the dashboard updates, then it shows the % of invoices paid on time against the 95% target.
2. Given the dashboard is open, when I look at approvals, then I can see average approval days for each approver.
3. Given the dashboard is open, when I look at controls, then I can see duplicates blocked, invoices returned for no PO, and open queries.</t>
  </si>
  <si>
    <t xml:space="preserve">RC1, RC2, RC3</t>
  </si>
  <si>
    <t xml:space="preserve">Project brief (Helen's targets)</t>
  </si>
  <si>
    <t xml:space="preserve">Feeds Phase 6 (KPI dashboard).</t>
  </si>
  <si>
    <t xml:space="preserve">US13</t>
  </si>
  <si>
    <t xml:space="preserve">Out of scope</t>
  </si>
  <si>
    <t xml:space="preserve">to run payments twice a week instead of every Thursday</t>
  </si>
  <si>
    <t xml:space="preserve">invoices approved on a Friday don't wait nearly a week to be paid</t>
  </si>
  <si>
    <t xml:space="preserve">Not in scope for this project.</t>
  </si>
  <si>
    <t xml:space="preserve">n/a</t>
  </si>
  <si>
    <t xml:space="preserve">Daniel</t>
  </si>
  <si>
    <t xml:space="preserve">Not one of the three root causes. Review once Phase B is live.</t>
  </si>
  <si>
    <t xml:space="preserve">US14</t>
  </si>
  <si>
    <t xml:space="preserve">a new accounts payable system to replace the current one</t>
  </si>
  <si>
    <t xml:space="preserve">invoices are scanned and matched automatically</t>
  </si>
  <si>
    <t xml:space="preserve">Options comparison (Option 3)</t>
  </si>
  <si>
    <t xml:space="preserve">Too costly and slow. Northbridge already owns most of what it needs.</t>
  </si>
  <si>
    <t xml:space="preserve">User story (short)</t>
  </si>
  <si>
    <t xml:space="preserve">RC1: PO problems</t>
  </si>
  <si>
    <t xml:space="preserve">RC2: Slow approvals</t>
  </si>
  <si>
    <t xml:space="preserve">RC3: Duplicates</t>
  </si>
  <si>
    <t xml:space="preserve">The system to block any invoice with the same supplier and invoice number as one already logged</t>
  </si>
  <si>
    <t xml:space="preserve">✓</t>
  </si>
  <si>
    <t xml:space="preserve">A list of every invoice paid twice in 2025</t>
  </si>
  <si>
    <t xml:space="preserve">To send back any invoice that has no valid PO number, using a standard email to the supplier</t>
  </si>
  <si>
    <t xml:space="preserve">A quick way to raise a PO for urgent jobs, even from my phone</t>
  </si>
  <si>
    <t xml:space="preserve">All regular suppliers to be told about the 'no PO, no pay' rule with 30 days' notice</t>
  </si>
  <si>
    <t xml:space="preserve">The system to send each invoice to the right approver automatically, based on department and amount</t>
  </si>
  <si>
    <t xml:space="preserve">To approve invoices on my phone with the PO shown alongside</t>
  </si>
  <si>
    <t xml:space="preserve">The system to send reminders and escalate approvals that stall</t>
  </si>
  <si>
    <t xml:space="preserve">Every budget holder to have a named backup approver</t>
  </si>
  <si>
    <t xml:space="preserve">Every query logged with an owner, a reason and a due date</t>
  </si>
  <si>
    <t xml:space="preserve">To record deliveries on a tablet against the PO, including part deliveries</t>
  </si>
  <si>
    <t xml:space="preserve">A monthly dashboard showing how the invoice process is performing</t>
  </si>
  <si>
    <t xml:space="preserve">To run payments twice a week instead of every Thursday</t>
  </si>
  <si>
    <t xml:space="preserve">A new accounts payable system to replace the current one</t>
  </si>
  <si>
    <t xml:space="preserve">Stories linked to each root cause</t>
  </si>
  <si>
    <t xml:space="preserve">Must-have stories linked to each root cause</t>
  </si>
  <si>
    <t xml:space="preserve">Every root cause has at least one Must-have story, so nothing important is left out. The two Won't stories trace to no root cause, which is why they are out of scope.</t>
  </si>
  <si>
    <t xml:space="preserve">Number of stories</t>
  </si>
  <si>
    <t xml:space="preserve">Share of stories</t>
  </si>
  <si>
    <t xml:space="preserve">What it means</t>
  </si>
  <si>
    <t xml:space="preserve">Needed for go-live</t>
  </si>
  <si>
    <t xml:space="preserve">Important, workaround if it slips</t>
  </si>
  <si>
    <t xml:space="preserve">If time and budget allow</t>
  </si>
  <si>
    <t xml:space="preserve">Out of scope this time</t>
  </si>
  <si>
    <t xml:space="preserve">Total</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</si>
</sst>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i val="true"/>
      <sz val="9"/>
      <name val="Arial"/>
      <family val="0"/>
      <charset val="1"/>
    </font>
  </fonts>
  <fills count="7">
    <fill>
      <patternFill patternType="none"/>
    </fill>
    <fill>
      <patternFill patternType="gray125"/>
    </fill>
    <fill>
      <patternFill patternType="solid">
        <fgColor rgb="FFF8CBAD"/>
        <bgColor rgb="FFFFE699"/>
      </patternFill>
    </fill>
    <fill>
      <patternFill patternType="solid">
        <fgColor rgb="FFFFE699"/>
        <bgColor rgb="FFF8CBAD"/>
      </patternFill>
    </fill>
    <fill>
      <patternFill patternType="solid">
        <fgColor rgb="FFC6E0B4"/>
        <bgColor rgb="FFD9D9D9"/>
      </patternFill>
    </fill>
    <fill>
      <patternFill patternType="solid">
        <fgColor rgb="FFD9D9D9"/>
        <bgColor rgb="FFC6E0B4"/>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5" fillId="2"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row>
    <row r="3" customFormat="false" ht="42" hidden="false" customHeight="tru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row>
    <row r="7" customFormat="false" ht="42" hidden="false" customHeight="true" outlineLevel="0" collapsed="false">
      <c r="A7" s="2" t="s">
        <v>7</v>
      </c>
      <c r="B7" s="3" t="s">
        <v>8</v>
      </c>
    </row>
    <row r="8" customFormat="false" ht="15" hidden="false" customHeight="false" outlineLevel="0" collapsed="false">
      <c r="A8" s="2"/>
    </row>
    <row r="9" customFormat="false" ht="15" hidden="false" customHeight="false" outlineLevel="0" collapsed="false">
      <c r="A9" s="4" t="s">
        <v>9</v>
      </c>
    </row>
    <row r="10" customFormat="false" ht="15" hidden="false" customHeight="false" outlineLevel="0" collapsed="false">
      <c r="A10" s="5" t="s">
        <v>10</v>
      </c>
      <c r="B10" s="3" t="s">
        <v>11</v>
      </c>
    </row>
    <row r="11" customFormat="false" ht="15" hidden="false" customHeight="false" outlineLevel="0" collapsed="false">
      <c r="A11" s="6" t="s">
        <v>12</v>
      </c>
      <c r="B11" s="3" t="s">
        <v>13</v>
      </c>
    </row>
    <row r="12" customFormat="false" ht="15" hidden="false" customHeight="false" outlineLevel="0" collapsed="false">
      <c r="A12" s="7" t="s">
        <v>14</v>
      </c>
      <c r="B12" s="3" t="s">
        <v>15</v>
      </c>
    </row>
    <row r="13" customFormat="false" ht="15" hidden="false" customHeight="false" outlineLevel="0" collapsed="false">
      <c r="A13" s="8" t="s">
        <v>16</v>
      </c>
      <c r="B13" s="3" t="s">
        <v>17</v>
      </c>
    </row>
    <row r="14" customFormat="false" ht="15" hidden="false" customHeight="false" outlineLevel="0" collapsed="false">
      <c r="A14" s="2"/>
    </row>
    <row r="15" customFormat="false" ht="15" hidden="false" customHeight="false" outlineLevel="0" collapsed="false">
      <c r="A15" s="4" t="s">
        <v>18</v>
      </c>
    </row>
    <row r="16" customFormat="false" ht="15" hidden="false" customHeight="false" outlineLevel="0" collapsed="false">
      <c r="A16" s="2" t="s">
        <v>19</v>
      </c>
      <c r="B16" s="3" t="s">
        <v>20</v>
      </c>
    </row>
    <row r="17" customFormat="false" ht="15" hidden="false" customHeight="false" outlineLevel="0" collapsed="false">
      <c r="A17" s="2" t="s">
        <v>21</v>
      </c>
      <c r="B17" s="3" t="s">
        <v>22</v>
      </c>
    </row>
    <row r="18" customFormat="false" ht="15" hidden="false" customHeight="false" outlineLevel="0" collapsed="false">
      <c r="A18" s="2" t="s">
        <v>23</v>
      </c>
      <c r="B18" s="3" t="s">
        <v>24</v>
      </c>
    </row>
    <row r="19" customFormat="false" ht="15" hidden="false" customHeight="false" outlineLevel="0" collapsed="false">
      <c r="A19" s="2"/>
    </row>
    <row r="20" customFormat="false" ht="15" hidden="false" customHeight="false" outlineLevel="0" collapsed="false">
      <c r="A20" s="4" t="s">
        <v>25</v>
      </c>
    </row>
    <row r="21" customFormat="false" ht="15" hidden="false" customHeight="false" outlineLevel="0" collapsed="false">
      <c r="A21" s="2" t="s">
        <v>26</v>
      </c>
      <c r="B21" s="3" t="s">
        <v>27</v>
      </c>
    </row>
    <row r="22" customFormat="false" ht="15" hidden="false" customHeight="false" outlineLevel="0" collapsed="false">
      <c r="A22" s="2" t="s">
        <v>28</v>
      </c>
      <c r="B22" s="3" t="s">
        <v>29</v>
      </c>
    </row>
    <row r="23" customFormat="false" ht="15" hidden="false" customHeight="false" outlineLevel="0" collapsed="false">
      <c r="A23" s="2" t="s">
        <v>30</v>
      </c>
      <c r="B23" s="3" t="s">
        <v>31</v>
      </c>
    </row>
    <row r="24" customFormat="false" ht="15" hidden="false" customHeight="false" outlineLevel="0" collapsed="false">
      <c r="A24" s="2"/>
    </row>
    <row r="25" customFormat="false" ht="15" hidden="false" customHeight="false" outlineLevel="0" collapsed="false">
      <c r="A25" s="2" t="s">
        <v>32</v>
      </c>
      <c r="B25" s="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6"/>
    <col collapsed="false" customWidth="true" hidden="false" outlineLevel="0" max="4" min="4" style="0" width="34"/>
    <col collapsed="false" customWidth="true" hidden="false" outlineLevel="0" max="5" min="5" style="0" width="30"/>
    <col collapsed="false" customWidth="true" hidden="false" outlineLevel="0" max="6" min="6" style="0" width="62"/>
    <col collapsed="false" customWidth="true" hidden="false" outlineLevel="0" max="7" min="7" style="0" width="10"/>
    <col collapsed="false" customWidth="true" hidden="false" outlineLevel="0" max="8" min="8" style="0" width="11"/>
    <col collapsed="false" customWidth="true" hidden="false" outlineLevel="0" max="9" min="9" style="0" width="26"/>
    <col collapsed="false" customWidth="true" hidden="false" outlineLevel="0" max="10" min="10" style="0" width="8"/>
    <col collapsed="false" customWidth="true" hidden="false" outlineLevel="0" max="11" min="11" style="0" width="34"/>
  </cols>
  <sheetData>
    <row r="1" customFormat="false" ht="21.75" hidden="false" customHeight="true" outlineLevel="0" collapsed="false">
      <c r="A1" s="9" t="s">
        <v>34</v>
      </c>
      <c r="B1" s="9" t="s">
        <v>35</v>
      </c>
      <c r="C1" s="9" t="s">
        <v>36</v>
      </c>
      <c r="D1" s="9" t="s">
        <v>37</v>
      </c>
      <c r="E1" s="9" t="s">
        <v>38</v>
      </c>
      <c r="F1" s="9" t="s">
        <v>39</v>
      </c>
      <c r="G1" s="9" t="s">
        <v>40</v>
      </c>
      <c r="H1" s="9" t="s">
        <v>41</v>
      </c>
      <c r="I1" s="9" t="s">
        <v>42</v>
      </c>
      <c r="J1" s="9" t="s">
        <v>43</v>
      </c>
      <c r="K1" s="9" t="s">
        <v>44</v>
      </c>
    </row>
    <row r="2" customFormat="false" ht="100.5" hidden="false" customHeight="true" outlineLevel="0" collapsed="false">
      <c r="A2" s="10" t="s">
        <v>45</v>
      </c>
      <c r="B2" s="11" t="s">
        <v>46</v>
      </c>
      <c r="C2" s="11" t="s">
        <v>47</v>
      </c>
      <c r="D2" s="11" t="s">
        <v>48</v>
      </c>
      <c r="E2" s="11" t="s">
        <v>49</v>
      </c>
      <c r="F2" s="11" t="s">
        <v>50</v>
      </c>
      <c r="G2" s="12" t="s">
        <v>10</v>
      </c>
      <c r="H2" s="11" t="s">
        <v>23</v>
      </c>
      <c r="I2" s="11" t="s">
        <v>51</v>
      </c>
      <c r="J2" s="11" t="s">
        <v>26</v>
      </c>
      <c r="K2" s="11" t="s">
        <v>52</v>
      </c>
    </row>
    <row r="3" customFormat="false" ht="87" hidden="false" customHeight="true" outlineLevel="0" collapsed="false">
      <c r="A3" s="10" t="s">
        <v>53</v>
      </c>
      <c r="B3" s="11" t="s">
        <v>46</v>
      </c>
      <c r="C3" s="11" t="s">
        <v>54</v>
      </c>
      <c r="D3" s="11" t="s">
        <v>55</v>
      </c>
      <c r="E3" s="11" t="s">
        <v>56</v>
      </c>
      <c r="F3" s="11" t="s">
        <v>57</v>
      </c>
      <c r="G3" s="12" t="s">
        <v>10</v>
      </c>
      <c r="H3" s="11" t="s">
        <v>23</v>
      </c>
      <c r="I3" s="11" t="s">
        <v>58</v>
      </c>
      <c r="J3" s="11" t="s">
        <v>26</v>
      </c>
      <c r="K3" s="11" t="s">
        <v>59</v>
      </c>
    </row>
    <row r="4" customFormat="false" ht="87" hidden="false" customHeight="true" outlineLevel="0" collapsed="false">
      <c r="A4" s="10" t="s">
        <v>60</v>
      </c>
      <c r="B4" s="11" t="s">
        <v>61</v>
      </c>
      <c r="C4" s="11" t="s">
        <v>62</v>
      </c>
      <c r="D4" s="11" t="s">
        <v>63</v>
      </c>
      <c r="E4" s="11" t="s">
        <v>64</v>
      </c>
      <c r="F4" s="11" t="s">
        <v>65</v>
      </c>
      <c r="G4" s="12" t="s">
        <v>10</v>
      </c>
      <c r="H4" s="11" t="s">
        <v>19</v>
      </c>
      <c r="I4" s="11" t="s">
        <v>66</v>
      </c>
      <c r="J4" s="11" t="s">
        <v>26</v>
      </c>
      <c r="K4" s="11" t="s">
        <v>67</v>
      </c>
    </row>
    <row r="5" customFormat="false" ht="87" hidden="false" customHeight="true" outlineLevel="0" collapsed="false">
      <c r="A5" s="10" t="s">
        <v>68</v>
      </c>
      <c r="B5" s="11" t="s">
        <v>61</v>
      </c>
      <c r="C5" s="11" t="s">
        <v>69</v>
      </c>
      <c r="D5" s="11" t="s">
        <v>70</v>
      </c>
      <c r="E5" s="11" t="s">
        <v>71</v>
      </c>
      <c r="F5" s="11" t="s">
        <v>72</v>
      </c>
      <c r="G5" s="12" t="s">
        <v>10</v>
      </c>
      <c r="H5" s="11" t="s">
        <v>19</v>
      </c>
      <c r="I5" s="11" t="s">
        <v>73</v>
      </c>
      <c r="J5" s="11" t="s">
        <v>26</v>
      </c>
      <c r="K5" s="11" t="s">
        <v>74</v>
      </c>
    </row>
    <row r="6" customFormat="false" ht="87" hidden="false" customHeight="true" outlineLevel="0" collapsed="false">
      <c r="A6" s="10" t="s">
        <v>75</v>
      </c>
      <c r="B6" s="11" t="s">
        <v>61</v>
      </c>
      <c r="C6" s="11" t="s">
        <v>76</v>
      </c>
      <c r="D6" s="11" t="s">
        <v>77</v>
      </c>
      <c r="E6" s="11" t="s">
        <v>78</v>
      </c>
      <c r="F6" s="11" t="s">
        <v>79</v>
      </c>
      <c r="G6" s="13" t="s">
        <v>12</v>
      </c>
      <c r="H6" s="11" t="s">
        <v>19</v>
      </c>
      <c r="I6" s="11" t="s">
        <v>80</v>
      </c>
      <c r="J6" s="11" t="s">
        <v>26</v>
      </c>
      <c r="K6" s="11"/>
    </row>
    <row r="7" customFormat="false" ht="87" hidden="false" customHeight="true" outlineLevel="0" collapsed="false">
      <c r="A7" s="10" t="s">
        <v>81</v>
      </c>
      <c r="B7" s="11" t="s">
        <v>82</v>
      </c>
      <c r="C7" s="11" t="s">
        <v>62</v>
      </c>
      <c r="D7" s="11" t="s">
        <v>83</v>
      </c>
      <c r="E7" s="11" t="s">
        <v>84</v>
      </c>
      <c r="F7" s="11" t="s">
        <v>85</v>
      </c>
      <c r="G7" s="12" t="s">
        <v>10</v>
      </c>
      <c r="H7" s="11" t="s">
        <v>21</v>
      </c>
      <c r="I7" s="11" t="s">
        <v>86</v>
      </c>
      <c r="J7" s="11" t="s">
        <v>28</v>
      </c>
      <c r="K7" s="11" t="s">
        <v>87</v>
      </c>
    </row>
    <row r="8" customFormat="false" ht="73.5" hidden="false" customHeight="true" outlineLevel="0" collapsed="false">
      <c r="A8" s="10" t="s">
        <v>88</v>
      </c>
      <c r="B8" s="11" t="s">
        <v>82</v>
      </c>
      <c r="C8" s="11" t="s">
        <v>89</v>
      </c>
      <c r="D8" s="11" t="s">
        <v>90</v>
      </c>
      <c r="E8" s="11" t="s">
        <v>91</v>
      </c>
      <c r="F8" s="11" t="s">
        <v>92</v>
      </c>
      <c r="G8" s="12" t="s">
        <v>10</v>
      </c>
      <c r="H8" s="11" t="s">
        <v>21</v>
      </c>
      <c r="I8" s="11" t="s">
        <v>93</v>
      </c>
      <c r="J8" s="11" t="s">
        <v>28</v>
      </c>
      <c r="K8" s="11" t="s">
        <v>94</v>
      </c>
    </row>
    <row r="9" customFormat="false" ht="87" hidden="false" customHeight="true" outlineLevel="0" collapsed="false">
      <c r="A9" s="10" t="s">
        <v>95</v>
      </c>
      <c r="B9" s="11" t="s">
        <v>82</v>
      </c>
      <c r="C9" s="11" t="s">
        <v>62</v>
      </c>
      <c r="D9" s="11" t="s">
        <v>96</v>
      </c>
      <c r="E9" s="11" t="s">
        <v>97</v>
      </c>
      <c r="F9" s="11" t="s">
        <v>98</v>
      </c>
      <c r="G9" s="12" t="s">
        <v>10</v>
      </c>
      <c r="H9" s="11" t="s">
        <v>21</v>
      </c>
      <c r="I9" s="11" t="s">
        <v>99</v>
      </c>
      <c r="J9" s="11" t="s">
        <v>28</v>
      </c>
      <c r="K9" s="11" t="s">
        <v>100</v>
      </c>
    </row>
    <row r="10" customFormat="false" ht="87" hidden="false" customHeight="true" outlineLevel="0" collapsed="false">
      <c r="A10" s="10" t="s">
        <v>101</v>
      </c>
      <c r="B10" s="11" t="s">
        <v>82</v>
      </c>
      <c r="C10" s="11" t="s">
        <v>102</v>
      </c>
      <c r="D10" s="11" t="s">
        <v>103</v>
      </c>
      <c r="E10" s="11" t="s">
        <v>104</v>
      </c>
      <c r="F10" s="11" t="s">
        <v>105</v>
      </c>
      <c r="G10" s="12" t="s">
        <v>10</v>
      </c>
      <c r="H10" s="11" t="s">
        <v>21</v>
      </c>
      <c r="I10" s="11" t="s">
        <v>106</v>
      </c>
      <c r="J10" s="11" t="s">
        <v>28</v>
      </c>
      <c r="K10" s="11"/>
    </row>
    <row r="11" customFormat="false" ht="87" hidden="false" customHeight="true" outlineLevel="0" collapsed="false">
      <c r="A11" s="10" t="s">
        <v>107</v>
      </c>
      <c r="B11" s="11" t="s">
        <v>82</v>
      </c>
      <c r="C11" s="11" t="s">
        <v>108</v>
      </c>
      <c r="D11" s="11" t="s">
        <v>109</v>
      </c>
      <c r="E11" s="11" t="s">
        <v>110</v>
      </c>
      <c r="F11" s="11" t="s">
        <v>111</v>
      </c>
      <c r="G11" s="13" t="s">
        <v>12</v>
      </c>
      <c r="H11" s="11" t="s">
        <v>112</v>
      </c>
      <c r="I11" s="11" t="s">
        <v>113</v>
      </c>
      <c r="J11" s="11" t="s">
        <v>28</v>
      </c>
      <c r="K11" s="11" t="s">
        <v>114</v>
      </c>
    </row>
    <row r="12" customFormat="false" ht="87" hidden="false" customHeight="true" outlineLevel="0" collapsed="false">
      <c r="A12" s="10" t="s">
        <v>115</v>
      </c>
      <c r="B12" s="11" t="s">
        <v>82</v>
      </c>
      <c r="C12" s="11" t="s">
        <v>116</v>
      </c>
      <c r="D12" s="11" t="s">
        <v>117</v>
      </c>
      <c r="E12" s="11" t="s">
        <v>118</v>
      </c>
      <c r="F12" s="11" t="s">
        <v>119</v>
      </c>
      <c r="G12" s="14" t="s">
        <v>14</v>
      </c>
      <c r="H12" s="11" t="s">
        <v>21</v>
      </c>
      <c r="I12" s="11" t="s">
        <v>93</v>
      </c>
      <c r="J12" s="11" t="s">
        <v>30</v>
      </c>
      <c r="K12" s="11" t="s">
        <v>120</v>
      </c>
    </row>
    <row r="13" customFormat="false" ht="87" hidden="false" customHeight="true" outlineLevel="0" collapsed="false">
      <c r="A13" s="10" t="s">
        <v>121</v>
      </c>
      <c r="B13" s="11" t="s">
        <v>122</v>
      </c>
      <c r="C13" s="11" t="s">
        <v>102</v>
      </c>
      <c r="D13" s="11" t="s">
        <v>123</v>
      </c>
      <c r="E13" s="11" t="s">
        <v>124</v>
      </c>
      <c r="F13" s="11" t="s">
        <v>125</v>
      </c>
      <c r="G13" s="13" t="s">
        <v>12</v>
      </c>
      <c r="H13" s="11" t="s">
        <v>126</v>
      </c>
      <c r="I13" s="11" t="s">
        <v>127</v>
      </c>
      <c r="J13" s="11" t="s">
        <v>28</v>
      </c>
      <c r="K13" s="11" t="s">
        <v>128</v>
      </c>
    </row>
    <row r="14" customFormat="false" ht="45" hidden="false" customHeight="true" outlineLevel="0" collapsed="false">
      <c r="A14" s="10" t="s">
        <v>129</v>
      </c>
      <c r="B14" s="11" t="s">
        <v>130</v>
      </c>
      <c r="C14" s="11" t="s">
        <v>62</v>
      </c>
      <c r="D14" s="11" t="s">
        <v>131</v>
      </c>
      <c r="E14" s="11" t="s">
        <v>132</v>
      </c>
      <c r="F14" s="11" t="s">
        <v>133</v>
      </c>
      <c r="G14" s="15" t="s">
        <v>16</v>
      </c>
      <c r="H14" s="11" t="s">
        <v>134</v>
      </c>
      <c r="I14" s="11" t="s">
        <v>135</v>
      </c>
      <c r="J14" s="11" t="s">
        <v>134</v>
      </c>
      <c r="K14" s="11" t="s">
        <v>136</v>
      </c>
    </row>
    <row r="15" customFormat="false" ht="45" hidden="false" customHeight="true" outlineLevel="0" collapsed="false">
      <c r="A15" s="10" t="s">
        <v>137</v>
      </c>
      <c r="B15" s="11" t="s">
        <v>130</v>
      </c>
      <c r="C15" s="11" t="s">
        <v>102</v>
      </c>
      <c r="D15" s="11" t="s">
        <v>138</v>
      </c>
      <c r="E15" s="11" t="s">
        <v>139</v>
      </c>
      <c r="F15" s="11" t="s">
        <v>133</v>
      </c>
      <c r="G15" s="15" t="s">
        <v>16</v>
      </c>
      <c r="H15" s="11" t="s">
        <v>134</v>
      </c>
      <c r="I15" s="11" t="s">
        <v>140</v>
      </c>
      <c r="J15" s="11" t="s">
        <v>134</v>
      </c>
      <c r="K15" s="11" t="s">
        <v>141</v>
      </c>
    </row>
  </sheetData>
  <autoFilter ref="A1:K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3" min="3" style="0" width="10"/>
    <col collapsed="false" customWidth="true" hidden="false" outlineLevel="0" max="6" min="4" style="0" width="16"/>
    <col collapsed="false" customWidth="true" hidden="false" outlineLevel="0" max="7" min="7" style="0" width="40"/>
  </cols>
  <sheetData>
    <row r="1" customFormat="false" ht="31.5" hidden="false" customHeight="true" outlineLevel="0" collapsed="false">
      <c r="A1" s="16" t="s">
        <v>34</v>
      </c>
      <c r="B1" s="16" t="s">
        <v>142</v>
      </c>
      <c r="C1" s="16" t="s">
        <v>40</v>
      </c>
      <c r="D1" s="17" t="s">
        <v>143</v>
      </c>
      <c r="E1" s="17" t="s">
        <v>144</v>
      </c>
      <c r="F1" s="17" t="s">
        <v>145</v>
      </c>
      <c r="G1" s="17" t="s">
        <v>42</v>
      </c>
    </row>
    <row r="2" customFormat="false" ht="30" hidden="false" customHeight="true" outlineLevel="0" collapsed="false">
      <c r="A2" s="18" t="s">
        <v>45</v>
      </c>
      <c r="B2" s="18" t="s">
        <v>146</v>
      </c>
      <c r="C2" s="19" t="s">
        <v>10</v>
      </c>
      <c r="D2" s="20"/>
      <c r="E2" s="20"/>
      <c r="F2" s="20" t="s">
        <v>147</v>
      </c>
      <c r="G2" s="18" t="s">
        <v>51</v>
      </c>
    </row>
    <row r="3" customFormat="false" ht="30" hidden="false" customHeight="true" outlineLevel="0" collapsed="false">
      <c r="A3" s="18" t="s">
        <v>53</v>
      </c>
      <c r="B3" s="18" t="s">
        <v>148</v>
      </c>
      <c r="C3" s="19" t="s">
        <v>10</v>
      </c>
      <c r="D3" s="20"/>
      <c r="E3" s="20"/>
      <c r="F3" s="20" t="s">
        <v>147</v>
      </c>
      <c r="G3" s="18" t="s">
        <v>58</v>
      </c>
    </row>
    <row r="4" customFormat="false" ht="30" hidden="false" customHeight="true" outlineLevel="0" collapsed="false">
      <c r="A4" s="18" t="s">
        <v>60</v>
      </c>
      <c r="B4" s="18" t="s">
        <v>149</v>
      </c>
      <c r="C4" s="19" t="s">
        <v>10</v>
      </c>
      <c r="D4" s="20" t="s">
        <v>147</v>
      </c>
      <c r="E4" s="20"/>
      <c r="F4" s="20"/>
      <c r="G4" s="18" t="s">
        <v>66</v>
      </c>
    </row>
    <row r="5" customFormat="false" ht="30" hidden="false" customHeight="true" outlineLevel="0" collapsed="false">
      <c r="A5" s="18" t="s">
        <v>68</v>
      </c>
      <c r="B5" s="18" t="s">
        <v>150</v>
      </c>
      <c r="C5" s="19" t="s">
        <v>10</v>
      </c>
      <c r="D5" s="20" t="s">
        <v>147</v>
      </c>
      <c r="E5" s="20"/>
      <c r="F5" s="20"/>
      <c r="G5" s="18" t="s">
        <v>73</v>
      </c>
    </row>
    <row r="6" customFormat="false" ht="30" hidden="false" customHeight="true" outlineLevel="0" collapsed="false">
      <c r="A6" s="18" t="s">
        <v>75</v>
      </c>
      <c r="B6" s="18" t="s">
        <v>151</v>
      </c>
      <c r="C6" s="21" t="s">
        <v>12</v>
      </c>
      <c r="D6" s="20" t="s">
        <v>147</v>
      </c>
      <c r="E6" s="20"/>
      <c r="F6" s="20"/>
      <c r="G6" s="18" t="s">
        <v>80</v>
      </c>
    </row>
    <row r="7" customFormat="false" ht="30" hidden="false" customHeight="true" outlineLevel="0" collapsed="false">
      <c r="A7" s="18" t="s">
        <v>81</v>
      </c>
      <c r="B7" s="18" t="s">
        <v>152</v>
      </c>
      <c r="C7" s="19" t="s">
        <v>10</v>
      </c>
      <c r="D7" s="20"/>
      <c r="E7" s="20" t="s">
        <v>147</v>
      </c>
      <c r="F7" s="20"/>
      <c r="G7" s="18" t="s">
        <v>86</v>
      </c>
    </row>
    <row r="8" customFormat="false" ht="30" hidden="false" customHeight="true" outlineLevel="0" collapsed="false">
      <c r="A8" s="18" t="s">
        <v>88</v>
      </c>
      <c r="B8" s="18" t="s">
        <v>153</v>
      </c>
      <c r="C8" s="19" t="s">
        <v>10</v>
      </c>
      <c r="D8" s="20"/>
      <c r="E8" s="20" t="s">
        <v>147</v>
      </c>
      <c r="F8" s="20"/>
      <c r="G8" s="18" t="s">
        <v>93</v>
      </c>
    </row>
    <row r="9" customFormat="false" ht="30" hidden="false" customHeight="true" outlineLevel="0" collapsed="false">
      <c r="A9" s="18" t="s">
        <v>95</v>
      </c>
      <c r="B9" s="18" t="s">
        <v>154</v>
      </c>
      <c r="C9" s="19" t="s">
        <v>10</v>
      </c>
      <c r="D9" s="20"/>
      <c r="E9" s="20" t="s">
        <v>147</v>
      </c>
      <c r="F9" s="20"/>
      <c r="G9" s="18" t="s">
        <v>99</v>
      </c>
    </row>
    <row r="10" customFormat="false" ht="30" hidden="false" customHeight="true" outlineLevel="0" collapsed="false">
      <c r="A10" s="18" t="s">
        <v>101</v>
      </c>
      <c r="B10" s="18" t="s">
        <v>155</v>
      </c>
      <c r="C10" s="19" t="s">
        <v>10</v>
      </c>
      <c r="D10" s="20"/>
      <c r="E10" s="20" t="s">
        <v>147</v>
      </c>
      <c r="F10" s="20"/>
      <c r="G10" s="18" t="s">
        <v>106</v>
      </c>
    </row>
    <row r="11" customFormat="false" ht="30" hidden="false" customHeight="true" outlineLevel="0" collapsed="false">
      <c r="A11" s="18" t="s">
        <v>107</v>
      </c>
      <c r="B11" s="18" t="s">
        <v>156</v>
      </c>
      <c r="C11" s="21" t="s">
        <v>12</v>
      </c>
      <c r="D11" s="20" t="s">
        <v>147</v>
      </c>
      <c r="E11" s="20" t="s">
        <v>147</v>
      </c>
      <c r="F11" s="20"/>
      <c r="G11" s="18" t="s">
        <v>113</v>
      </c>
    </row>
    <row r="12" customFormat="false" ht="30" hidden="false" customHeight="true" outlineLevel="0" collapsed="false">
      <c r="A12" s="18" t="s">
        <v>115</v>
      </c>
      <c r="B12" s="18" t="s">
        <v>157</v>
      </c>
      <c r="C12" s="22" t="s">
        <v>14</v>
      </c>
      <c r="D12" s="20"/>
      <c r="E12" s="20" t="s">
        <v>147</v>
      </c>
      <c r="F12" s="20"/>
      <c r="G12" s="18" t="s">
        <v>93</v>
      </c>
    </row>
    <row r="13" customFormat="false" ht="30" hidden="false" customHeight="true" outlineLevel="0" collapsed="false">
      <c r="A13" s="18" t="s">
        <v>121</v>
      </c>
      <c r="B13" s="18" t="s">
        <v>158</v>
      </c>
      <c r="C13" s="21" t="s">
        <v>12</v>
      </c>
      <c r="D13" s="20" t="s">
        <v>147</v>
      </c>
      <c r="E13" s="20" t="s">
        <v>147</v>
      </c>
      <c r="F13" s="20" t="s">
        <v>147</v>
      </c>
      <c r="G13" s="18" t="s">
        <v>127</v>
      </c>
    </row>
    <row r="14" customFormat="false" ht="30" hidden="false" customHeight="true" outlineLevel="0" collapsed="false">
      <c r="A14" s="18" t="s">
        <v>129</v>
      </c>
      <c r="B14" s="18" t="s">
        <v>159</v>
      </c>
      <c r="C14" s="23" t="s">
        <v>16</v>
      </c>
      <c r="D14" s="20"/>
      <c r="E14" s="20"/>
      <c r="F14" s="20"/>
      <c r="G14" s="18" t="s">
        <v>135</v>
      </c>
    </row>
    <row r="15" customFormat="false" ht="30" hidden="false" customHeight="true" outlineLevel="0" collapsed="false">
      <c r="A15" s="18" t="s">
        <v>137</v>
      </c>
      <c r="B15" s="18" t="s">
        <v>160</v>
      </c>
      <c r="C15" s="23" t="s">
        <v>16</v>
      </c>
      <c r="D15" s="20"/>
      <c r="E15" s="20"/>
      <c r="F15" s="20"/>
      <c r="G15" s="18" t="s">
        <v>140</v>
      </c>
    </row>
    <row r="17" customFormat="false" ht="15" hidden="false" customHeight="false" outlineLevel="0" collapsed="false">
      <c r="B17" s="24" t="s">
        <v>161</v>
      </c>
      <c r="D17" s="25" t="n">
        <f aca="false">COUNTIF(D2:D15,"✓")</f>
        <v>5</v>
      </c>
      <c r="E17" s="25" t="n">
        <f aca="false">COUNTIF(E2:E15,"✓")</f>
        <v>7</v>
      </c>
      <c r="F17" s="25" t="n">
        <f aca="false">COUNTIF(F2:F15,"✓")</f>
        <v>3</v>
      </c>
    </row>
    <row r="18" customFormat="false" ht="15" hidden="false" customHeight="false" outlineLevel="0" collapsed="false">
      <c r="B18" s="24" t="s">
        <v>162</v>
      </c>
      <c r="D18" s="25" t="n">
        <f aca="false">COUNTIFS(D2:D15,"✓",$C$2:$C$15,"Must")</f>
        <v>2</v>
      </c>
      <c r="E18" s="25" t="n">
        <f aca="false">COUNTIFS(E2:E15,"✓",$C$2:$C$15,"Must")</f>
        <v>4</v>
      </c>
      <c r="F18" s="25" t="n">
        <f aca="false">COUNTIFS(F2:F15,"✓",$C$2:$C$15,"Must")</f>
        <v>2</v>
      </c>
    </row>
    <row r="20" customFormat="false" ht="30" hidden="false" customHeight="true" outlineLevel="0" collapsed="false">
      <c r="B20" s="26" t="s">
        <v>163</v>
      </c>
      <c r="C20" s="26"/>
      <c r="D20" s="26"/>
      <c r="E20" s="26"/>
      <c r="F20" s="26"/>
      <c r="G20" s="26"/>
    </row>
  </sheetData>
  <mergeCells count="1">
    <mergeCell ref="B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6"/>
    <col collapsed="false" customWidth="true" hidden="false" outlineLevel="0" max="4" min="4" style="0" width="55"/>
  </cols>
  <sheetData>
    <row r="1" customFormat="false" ht="15" hidden="false" customHeight="false" outlineLevel="0" collapsed="false">
      <c r="A1" s="27" t="s">
        <v>40</v>
      </c>
      <c r="B1" s="27" t="s">
        <v>164</v>
      </c>
      <c r="C1" s="27" t="s">
        <v>165</v>
      </c>
      <c r="D1" s="27" t="s">
        <v>166</v>
      </c>
    </row>
    <row r="2" customFormat="false" ht="15" hidden="false" customHeight="false" outlineLevel="0" collapsed="false">
      <c r="A2" s="28" t="s">
        <v>10</v>
      </c>
      <c r="B2" s="29" t="n">
        <f aca="false">COUNTIF('User stories'!$G$2:$G$15,A2)</f>
        <v>8</v>
      </c>
      <c r="C2" s="30" t="n">
        <f aca="false">IFERROR(B2/$B$6,0)</f>
        <v>0.571428571428571</v>
      </c>
      <c r="D2" s="29" t="s">
        <v>167</v>
      </c>
    </row>
    <row r="3" customFormat="false" ht="15" hidden="false" customHeight="false" outlineLevel="0" collapsed="false">
      <c r="A3" s="31" t="s">
        <v>12</v>
      </c>
      <c r="B3" s="29" t="n">
        <f aca="false">COUNTIF('User stories'!$G$2:$G$15,A3)</f>
        <v>3</v>
      </c>
      <c r="C3" s="30" t="n">
        <f aca="false">IFERROR(B3/$B$6,0)</f>
        <v>0.214285714285714</v>
      </c>
      <c r="D3" s="29" t="s">
        <v>168</v>
      </c>
    </row>
    <row r="4" customFormat="false" ht="15" hidden="false" customHeight="false" outlineLevel="0" collapsed="false">
      <c r="A4" s="32" t="s">
        <v>14</v>
      </c>
      <c r="B4" s="29" t="n">
        <f aca="false">COUNTIF('User stories'!$G$2:$G$15,A4)</f>
        <v>1</v>
      </c>
      <c r="C4" s="30" t="n">
        <f aca="false">IFERROR(B4/$B$6,0)</f>
        <v>0.0714285714285714</v>
      </c>
      <c r="D4" s="29" t="s">
        <v>169</v>
      </c>
    </row>
    <row r="5" customFormat="false" ht="15" hidden="false" customHeight="false" outlineLevel="0" collapsed="false">
      <c r="A5" s="33" t="s">
        <v>16</v>
      </c>
      <c r="B5" s="29" t="n">
        <f aca="false">COUNTIF('User stories'!$G$2:$G$15,A5)</f>
        <v>2</v>
      </c>
      <c r="C5" s="30" t="n">
        <f aca="false">IFERROR(B5/$B$6,0)</f>
        <v>0.142857142857143</v>
      </c>
      <c r="D5" s="29" t="s">
        <v>170</v>
      </c>
    </row>
    <row r="6" customFormat="false" ht="15" hidden="false" customHeight="false" outlineLevel="0" collapsed="false">
      <c r="A6" s="34" t="s">
        <v>171</v>
      </c>
      <c r="B6" s="34" t="n">
        <f aca="false">SUM(B2:B5)</f>
        <v>14</v>
      </c>
      <c r="C6" s="35" t="n">
        <f aca="false">SUM(C2:C5)</f>
        <v>1</v>
      </c>
      <c r="D6" s="3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2026-10-04T16:07:58Z</dcterms:created>
  <dc:creator>openpyxl</dc:creator>
  <dc:description/>
  <dc:language>en-US</dc:language>
  <cp:lastModifiedBy/>
  <dcterms:modified xsi:type="dcterms:W3CDTF">2026-10-04T16:07:58Z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